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2BD4D5C4-6009-4351-B61A-789FCA30AAB6}" xr6:coauthVersionLast="47" xr6:coauthVersionMax="47" xr10:uidLastSave="{00000000-0000-0000-0000-000000000000}"/>
  <bookViews>
    <workbookView xWindow="-15" yWindow="90" windowWidth="27270" windowHeight="20805" activeTab="1" xr2:uid="{8F193AD5-4822-438A-B757-2B234AE27955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5" i="1" l="1"/>
  <c r="AM15" i="1"/>
  <c r="AH15" i="1"/>
  <c r="AI15" i="1"/>
  <c r="AJ15" i="1"/>
  <c r="AK15" i="1" s="1"/>
  <c r="AL15" i="1" s="1"/>
  <c r="AG15" i="1"/>
  <c r="AF16" i="1"/>
  <c r="AE16" i="1"/>
  <c r="AF15" i="1"/>
  <c r="AE15" i="1"/>
  <c r="AD15" i="1"/>
  <c r="AF13" i="1"/>
  <c r="U8" i="1"/>
  <c r="U31" i="1"/>
  <c r="U30" i="1"/>
  <c r="U29" i="1"/>
  <c r="U26" i="1"/>
  <c r="U25" i="1"/>
  <c r="U24" i="1"/>
  <c r="U22" i="1"/>
  <c r="U23" i="1"/>
  <c r="U21" i="1"/>
  <c r="U20" i="1"/>
  <c r="U19" i="1"/>
  <c r="U15" i="1"/>
  <c r="U14" i="1"/>
  <c r="U13" i="1"/>
  <c r="U12" i="1"/>
  <c r="U9" i="1"/>
  <c r="U10" i="1" s="1"/>
  <c r="U7" i="1"/>
  <c r="T31" i="1"/>
  <c r="T30" i="1"/>
  <c r="T29" i="1"/>
  <c r="T27" i="1"/>
  <c r="T26" i="1"/>
  <c r="T19" i="1"/>
  <c r="T24" i="1"/>
  <c r="T22" i="1"/>
  <c r="T20" i="1"/>
  <c r="T21" i="1" s="1"/>
  <c r="T23" i="1" s="1"/>
  <c r="T25" i="1" s="1"/>
  <c r="T15" i="1"/>
  <c r="T14" i="1"/>
  <c r="T13" i="1"/>
  <c r="T12" i="1"/>
  <c r="T8" i="1"/>
  <c r="T7" i="1"/>
  <c r="S31" i="1"/>
  <c r="S30" i="1"/>
  <c r="S29" i="1"/>
  <c r="S19" i="1"/>
  <c r="S22" i="1"/>
  <c r="S27" i="1"/>
  <c r="S24" i="1"/>
  <c r="S20" i="1"/>
  <c r="S18" i="1"/>
  <c r="S17" i="1"/>
  <c r="S16" i="1"/>
  <c r="S15" i="1"/>
  <c r="S9" i="1" s="1"/>
  <c r="S10" i="1" s="1"/>
  <c r="S8" i="1"/>
  <c r="S7" i="1"/>
  <c r="S12" i="1"/>
  <c r="S13" i="1"/>
  <c r="AA36" i="1"/>
  <c r="AD36" i="1"/>
  <c r="R8" i="1"/>
  <c r="R7" i="1"/>
  <c r="R22" i="1"/>
  <c r="R24" i="1"/>
  <c r="R19" i="1"/>
  <c r="R18" i="1"/>
  <c r="R17" i="1"/>
  <c r="R16" i="1"/>
  <c r="J12" i="1"/>
  <c r="K12" i="1"/>
  <c r="L12" i="1"/>
  <c r="P29" i="1" s="1"/>
  <c r="M12" i="1"/>
  <c r="N12" i="1"/>
  <c r="N29" i="1" s="1"/>
  <c r="O12" i="1"/>
  <c r="P12" i="1"/>
  <c r="Q12" i="1"/>
  <c r="R12" i="1"/>
  <c r="R13" i="1"/>
  <c r="AC14" i="1"/>
  <c r="X4" i="1"/>
  <c r="Y4" i="1"/>
  <c r="N7" i="1"/>
  <c r="O7" i="1"/>
  <c r="P7" i="1"/>
  <c r="Q7" i="1"/>
  <c r="L8" i="1"/>
  <c r="M8" i="1"/>
  <c r="N8" i="1"/>
  <c r="O8" i="1"/>
  <c r="P8" i="1"/>
  <c r="Q8" i="1"/>
  <c r="K8" i="1"/>
  <c r="AC8" i="1"/>
  <c r="J24" i="1"/>
  <c r="J22" i="1"/>
  <c r="J18" i="1"/>
  <c r="J16" i="1"/>
  <c r="J14" i="1"/>
  <c r="J13" i="1"/>
  <c r="N24" i="1"/>
  <c r="N22" i="1"/>
  <c r="N19" i="1"/>
  <c r="N18" i="1"/>
  <c r="N17" i="1"/>
  <c r="N16" i="1"/>
  <c r="N14" i="1"/>
  <c r="N13" i="1"/>
  <c r="K24" i="1"/>
  <c r="K22" i="1"/>
  <c r="K18" i="1"/>
  <c r="K16" i="1"/>
  <c r="K14" i="1"/>
  <c r="K13" i="1"/>
  <c r="O24" i="1"/>
  <c r="O22" i="1"/>
  <c r="O19" i="1"/>
  <c r="O17" i="1"/>
  <c r="O16" i="1"/>
  <c r="O14" i="1"/>
  <c r="O13" i="1"/>
  <c r="L24" i="1"/>
  <c r="L22" i="1"/>
  <c r="L19" i="1"/>
  <c r="L18" i="1"/>
  <c r="L16" i="1"/>
  <c r="L14" i="1"/>
  <c r="L13" i="1"/>
  <c r="P24" i="1"/>
  <c r="P19" i="1"/>
  <c r="P20" i="1" s="1"/>
  <c r="P22" i="1"/>
  <c r="P14" i="1"/>
  <c r="P13" i="1"/>
  <c r="M24" i="1"/>
  <c r="M22" i="1"/>
  <c r="M19" i="1"/>
  <c r="M20" i="1" s="1"/>
  <c r="M14" i="1"/>
  <c r="M13" i="1"/>
  <c r="Q19" i="1"/>
  <c r="Q18" i="1"/>
  <c r="Q22" i="1"/>
  <c r="Q13" i="1"/>
  <c r="Q15" i="1" s="1"/>
  <c r="Q31" i="1" s="1"/>
  <c r="L7" i="2"/>
  <c r="L10" i="2" s="1"/>
  <c r="AN15" i="1" l="1"/>
  <c r="AO15" i="1" s="1"/>
  <c r="AP15" i="1" s="1"/>
  <c r="AQ15" i="1" s="1"/>
  <c r="AR15" i="1" s="1"/>
  <c r="AS15" i="1" s="1"/>
  <c r="AT15" i="1" s="1"/>
  <c r="AU15" i="1" s="1"/>
  <c r="AV15" i="1" s="1"/>
  <c r="AW15" i="1" s="1"/>
  <c r="AX15" i="1" s="1"/>
  <c r="AY15" i="1" s="1"/>
  <c r="AZ15" i="1" s="1"/>
  <c r="BA15" i="1" s="1"/>
  <c r="BB15" i="1" s="1"/>
  <c r="BC15" i="1" s="1"/>
  <c r="BD15" i="1" s="1"/>
  <c r="BE15" i="1" s="1"/>
  <c r="BF15" i="1" s="1"/>
  <c r="BG15" i="1" s="1"/>
  <c r="BH15" i="1" s="1"/>
  <c r="BI15" i="1" s="1"/>
  <c r="BJ15" i="1" s="1"/>
  <c r="BK15" i="1" s="1"/>
  <c r="BL15" i="1" s="1"/>
  <c r="BM15" i="1" s="1"/>
  <c r="BN15" i="1" s="1"/>
  <c r="BO15" i="1" s="1"/>
  <c r="BP15" i="1" s="1"/>
  <c r="BQ15" i="1" s="1"/>
  <c r="BR15" i="1" s="1"/>
  <c r="BS15" i="1" s="1"/>
  <c r="BT15" i="1" s="1"/>
  <c r="BU15" i="1" s="1"/>
  <c r="BV15" i="1" s="1"/>
  <c r="BW15" i="1" s="1"/>
  <c r="BX15" i="1" s="1"/>
  <c r="BY15" i="1" s="1"/>
  <c r="BZ15" i="1" s="1"/>
  <c r="CA15" i="1" s="1"/>
  <c r="CB15" i="1" s="1"/>
  <c r="CC15" i="1" s="1"/>
  <c r="CD15" i="1" s="1"/>
  <c r="CE15" i="1" s="1"/>
  <c r="CF15" i="1" s="1"/>
  <c r="CG15" i="1" s="1"/>
  <c r="CH15" i="1" s="1"/>
  <c r="CI15" i="1" s="1"/>
  <c r="CJ15" i="1" s="1"/>
  <c r="CK15" i="1" s="1"/>
  <c r="CL15" i="1" s="1"/>
  <c r="CM15" i="1" s="1"/>
  <c r="CN15" i="1" s="1"/>
  <c r="CO15" i="1" s="1"/>
  <c r="CP15" i="1" s="1"/>
  <c r="CQ15" i="1" s="1"/>
  <c r="CR15" i="1" s="1"/>
  <c r="CS15" i="1" s="1"/>
  <c r="CT15" i="1" s="1"/>
  <c r="CU15" i="1" s="1"/>
  <c r="CV15" i="1" s="1"/>
  <c r="CW15" i="1" s="1"/>
  <c r="CX15" i="1" s="1"/>
  <c r="CY15" i="1" s="1"/>
  <c r="CZ15" i="1" s="1"/>
  <c r="DA15" i="1" s="1"/>
  <c r="DB15" i="1" s="1"/>
  <c r="DC15" i="1" s="1"/>
  <c r="DD15" i="1" s="1"/>
  <c r="DE15" i="1" s="1"/>
  <c r="DF15" i="1" s="1"/>
  <c r="DG15" i="1" s="1"/>
  <c r="DH15" i="1" s="1"/>
  <c r="T9" i="1"/>
  <c r="T10" i="1" s="1"/>
  <c r="S21" i="1"/>
  <c r="S23" i="1" s="1"/>
  <c r="S25" i="1" s="1"/>
  <c r="S26" i="1" s="1"/>
  <c r="AD12" i="1"/>
  <c r="AE12" i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W12" i="1" s="1"/>
  <c r="AX12" i="1" s="1"/>
  <c r="AY12" i="1" s="1"/>
  <c r="AZ12" i="1" s="1"/>
  <c r="BA12" i="1" s="1"/>
  <c r="BB12" i="1" s="1"/>
  <c r="BC12" i="1" s="1"/>
  <c r="BD12" i="1" s="1"/>
  <c r="BE12" i="1" s="1"/>
  <c r="BF12" i="1" s="1"/>
  <c r="BG12" i="1" s="1"/>
  <c r="BH12" i="1" s="1"/>
  <c r="BI12" i="1" s="1"/>
  <c r="BJ12" i="1" s="1"/>
  <c r="BK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BV12" i="1" s="1"/>
  <c r="BW12" i="1" s="1"/>
  <c r="BX12" i="1" s="1"/>
  <c r="BY12" i="1" s="1"/>
  <c r="BZ12" i="1" s="1"/>
  <c r="CA12" i="1" s="1"/>
  <c r="CB12" i="1" s="1"/>
  <c r="CC12" i="1" s="1"/>
  <c r="CD12" i="1" s="1"/>
  <c r="CE12" i="1" s="1"/>
  <c r="CF12" i="1" s="1"/>
  <c r="CG12" i="1" s="1"/>
  <c r="CH12" i="1" s="1"/>
  <c r="CI12" i="1" s="1"/>
  <c r="CJ12" i="1" s="1"/>
  <c r="CK12" i="1" s="1"/>
  <c r="CL12" i="1" s="1"/>
  <c r="CM12" i="1" s="1"/>
  <c r="CN12" i="1" s="1"/>
  <c r="CO12" i="1" s="1"/>
  <c r="CP12" i="1" s="1"/>
  <c r="CQ12" i="1" s="1"/>
  <c r="CR12" i="1" s="1"/>
  <c r="CS12" i="1" s="1"/>
  <c r="CT12" i="1" s="1"/>
  <c r="CU12" i="1" s="1"/>
  <c r="CV12" i="1" s="1"/>
  <c r="CW12" i="1" s="1"/>
  <c r="CX12" i="1" s="1"/>
  <c r="CY12" i="1" s="1"/>
  <c r="CZ12" i="1" s="1"/>
  <c r="DA12" i="1" s="1"/>
  <c r="DB12" i="1" s="1"/>
  <c r="DC12" i="1" s="1"/>
  <c r="DD12" i="1" s="1"/>
  <c r="DE12" i="1" s="1"/>
  <c r="DF12" i="1" s="1"/>
  <c r="DG12" i="1" s="1"/>
  <c r="DH12" i="1" s="1"/>
  <c r="Q29" i="1"/>
  <c r="R29" i="1"/>
  <c r="O29" i="1"/>
  <c r="R30" i="1"/>
  <c r="R20" i="1"/>
  <c r="R15" i="1"/>
  <c r="Q9" i="1"/>
  <c r="Q10" i="1" s="1"/>
  <c r="O30" i="1"/>
  <c r="M15" i="1"/>
  <c r="M9" i="1" s="1"/>
  <c r="M10" i="1" s="1"/>
  <c r="N15" i="1"/>
  <c r="N9" i="1" s="1"/>
  <c r="N10" i="1" s="1"/>
  <c r="K20" i="1"/>
  <c r="K15" i="1"/>
  <c r="K9" i="1" s="1"/>
  <c r="K10" i="1" s="1"/>
  <c r="J20" i="1"/>
  <c r="Q30" i="1"/>
  <c r="AE13" i="1"/>
  <c r="P30" i="1"/>
  <c r="N20" i="1"/>
  <c r="O20" i="1"/>
  <c r="J15" i="1"/>
  <c r="Q20" i="1"/>
  <c r="Q21" i="1" s="1"/>
  <c r="Q23" i="1" s="1"/>
  <c r="Q25" i="1" s="1"/>
  <c r="Q26" i="1" s="1"/>
  <c r="L15" i="1"/>
  <c r="L9" i="1" s="1"/>
  <c r="L10" i="1" s="1"/>
  <c r="L20" i="1"/>
  <c r="O15" i="1"/>
  <c r="O9" i="1" s="1"/>
  <c r="O10" i="1" s="1"/>
  <c r="P15" i="1"/>
  <c r="AD35" i="1" l="1"/>
  <c r="AD37" i="1" s="1"/>
  <c r="R31" i="1"/>
  <c r="R9" i="1"/>
  <c r="R10" i="1" s="1"/>
  <c r="R21" i="1"/>
  <c r="R23" i="1" s="1"/>
  <c r="R25" i="1" s="1"/>
  <c r="R26" i="1" s="1"/>
  <c r="K21" i="1"/>
  <c r="K23" i="1" s="1"/>
  <c r="K25" i="1" s="1"/>
  <c r="K26" i="1" s="1"/>
  <c r="P31" i="1"/>
  <c r="P9" i="1"/>
  <c r="P10" i="1" s="1"/>
  <c r="M21" i="1"/>
  <c r="M23" i="1" s="1"/>
  <c r="M25" i="1" s="1"/>
  <c r="M26" i="1" s="1"/>
  <c r="J21" i="1"/>
  <c r="J23" i="1" s="1"/>
  <c r="J25" i="1" s="1"/>
  <c r="J26" i="1" s="1"/>
  <c r="N21" i="1"/>
  <c r="N23" i="1" s="1"/>
  <c r="N25" i="1" s="1"/>
  <c r="N26" i="1" s="1"/>
  <c r="P21" i="1"/>
  <c r="P23" i="1" s="1"/>
  <c r="P25" i="1" s="1"/>
  <c r="P26" i="1" s="1"/>
  <c r="L21" i="1"/>
  <c r="L23" i="1" s="1"/>
  <c r="L25" i="1" s="1"/>
  <c r="L26" i="1" s="1"/>
  <c r="O31" i="1"/>
  <c r="O21" i="1"/>
  <c r="O23" i="1" s="1"/>
  <c r="O25" i="1" s="1"/>
  <c r="O26" i="1" s="1"/>
  <c r="AD39" i="1" l="1"/>
  <c r="AD38" i="1"/>
  <c r="D31" i="1"/>
  <c r="L31" i="1"/>
  <c r="H31" i="1"/>
  <c r="E31" i="1"/>
  <c r="N30" i="1"/>
  <c r="AD13" i="1"/>
  <c r="AC2" i="1"/>
  <c r="AD2" i="1" s="1"/>
  <c r="AE2" i="1" s="1"/>
  <c r="AF2" i="1" s="1"/>
  <c r="AE8" i="1" l="1"/>
  <c r="AD14" i="1"/>
  <c r="AE14" i="1"/>
  <c r="AD8" i="1"/>
  <c r="F31" i="1"/>
  <c r="G31" i="1"/>
  <c r="J31" i="1"/>
  <c r="I31" i="1"/>
  <c r="K31" i="1"/>
  <c r="M31" i="1"/>
  <c r="N31" i="1"/>
  <c r="AG13" i="1" l="1"/>
  <c r="AF14" i="1"/>
  <c r="AH13" i="1" l="1"/>
  <c r="AG14" i="1"/>
  <c r="AI13" i="1" l="1"/>
  <c r="AJ13" i="1" s="1"/>
  <c r="AK13" i="1" s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W13" i="1" s="1"/>
  <c r="AX13" i="1" s="1"/>
  <c r="AY13" i="1" s="1"/>
  <c r="AZ13" i="1" s="1"/>
  <c r="BA13" i="1" s="1"/>
  <c r="BB13" i="1" s="1"/>
  <c r="BC13" i="1" s="1"/>
  <c r="BD13" i="1" s="1"/>
  <c r="BE13" i="1" s="1"/>
  <c r="BF13" i="1" s="1"/>
  <c r="BG13" i="1" s="1"/>
  <c r="BH13" i="1" s="1"/>
  <c r="BI13" i="1" s="1"/>
  <c r="BJ13" i="1" s="1"/>
  <c r="BK13" i="1" s="1"/>
  <c r="BL13" i="1" s="1"/>
  <c r="BM13" i="1" s="1"/>
  <c r="BN13" i="1" s="1"/>
  <c r="BO13" i="1" s="1"/>
  <c r="BP13" i="1" s="1"/>
  <c r="BQ13" i="1" s="1"/>
  <c r="BR13" i="1" s="1"/>
  <c r="BS13" i="1" s="1"/>
  <c r="BT13" i="1" s="1"/>
  <c r="BU13" i="1" s="1"/>
  <c r="BV13" i="1" s="1"/>
  <c r="BW13" i="1" s="1"/>
  <c r="BX13" i="1" s="1"/>
  <c r="BY13" i="1" s="1"/>
  <c r="BZ13" i="1" s="1"/>
  <c r="CA13" i="1" s="1"/>
  <c r="CB13" i="1" s="1"/>
  <c r="CC13" i="1" s="1"/>
  <c r="CD13" i="1" s="1"/>
  <c r="CE13" i="1" s="1"/>
  <c r="CF13" i="1" s="1"/>
  <c r="CG13" i="1" s="1"/>
  <c r="CH13" i="1" s="1"/>
  <c r="CI13" i="1" s="1"/>
  <c r="CJ13" i="1" s="1"/>
  <c r="CK13" i="1" s="1"/>
  <c r="CL13" i="1" s="1"/>
  <c r="CM13" i="1" s="1"/>
  <c r="CN13" i="1" s="1"/>
  <c r="CO13" i="1" s="1"/>
  <c r="CP13" i="1" s="1"/>
  <c r="CQ13" i="1" s="1"/>
  <c r="CR13" i="1" s="1"/>
  <c r="CS13" i="1" s="1"/>
  <c r="CT13" i="1" s="1"/>
  <c r="CU13" i="1" s="1"/>
  <c r="CV13" i="1" s="1"/>
  <c r="CW13" i="1" s="1"/>
  <c r="CX13" i="1" s="1"/>
  <c r="CY13" i="1" s="1"/>
  <c r="CZ13" i="1" s="1"/>
  <c r="DA13" i="1" s="1"/>
  <c r="DB13" i="1" s="1"/>
  <c r="DC13" i="1" s="1"/>
  <c r="DD13" i="1" s="1"/>
  <c r="DE13" i="1" s="1"/>
  <c r="DF13" i="1" s="1"/>
  <c r="DG13" i="1" s="1"/>
  <c r="DH13" i="1" s="1"/>
  <c r="AA37" i="1" l="1"/>
  <c r="AA38" i="1" s="1"/>
  <c r="AA3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Jefferson Hwang</author>
  </authors>
  <commentList>
    <comment ref="S6" authorId="0" shapeId="0" xr:uid="{0589989D-7AAA-4DF0-B645-F7329CE92812}">
      <text>
        <r>
          <rPr>
            <b/>
            <sz val="9"/>
            <color indexed="81"/>
            <rFont val="Tahoma"/>
            <family val="2"/>
          </rPr>
          <t>Jefferson Hwang:</t>
        </r>
        <r>
          <rPr>
            <sz val="9"/>
            <color indexed="81"/>
            <rFont val="Tahoma"/>
            <family val="2"/>
          </rPr>
          <t xml:space="preserve">
Sold their Government Business Unit</t>
        </r>
      </text>
    </comment>
  </commentList>
</comments>
</file>

<file path=xl/sharedStrings.xml><?xml version="1.0" encoding="utf-8"?>
<sst xmlns="http://schemas.openxmlformats.org/spreadsheetml/2006/main" count="77" uniqueCount="67">
  <si>
    <t>FY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</si>
  <si>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</si>
  <si>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</si>
  <si>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</si>
  <si>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</si>
  <si>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</si>
  <si>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</si>
  <si>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</si>
  <si>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</si>
  <si>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</si>
  <si>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</si>
  <si>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</si>
  <si>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</si>
  <si>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</si>
  <si>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</si>
  <si>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Revenue</t>
  </si>
  <si>
    <t>COGS</t>
  </si>
  <si>
    <t>Gross Profit</t>
  </si>
  <si>
    <t>R&amp;D</t>
  </si>
  <si>
    <t>OpEx</t>
  </si>
  <si>
    <t>OpInc</t>
  </si>
  <si>
    <t>Interest</t>
  </si>
  <si>
    <t>Pretax</t>
  </si>
  <si>
    <t>Taxes</t>
  </si>
  <si>
    <t>Net Income</t>
  </si>
  <si>
    <t>EPS</t>
  </si>
  <si>
    <t>Shares</t>
  </si>
  <si>
    <t>Revenue y/y</t>
  </si>
  <si>
    <t>Gross Margin</t>
  </si>
  <si>
    <t>Growth Rate</t>
  </si>
  <si>
    <t>Cash</t>
  </si>
  <si>
    <t>Terminal Rate</t>
  </si>
  <si>
    <t>Discount Rate</t>
  </si>
  <si>
    <t>NPV</t>
  </si>
  <si>
    <t>Share Price</t>
  </si>
  <si>
    <t>Delta</t>
  </si>
  <si>
    <t>Market Cap</t>
  </si>
  <si>
    <t>Debt</t>
  </si>
  <si>
    <t>Q323</t>
  </si>
  <si>
    <t>Q423</t>
  </si>
  <si>
    <t>Hardware Rev</t>
  </si>
  <si>
    <t>Price</t>
  </si>
  <si>
    <t>MC</t>
  </si>
  <si>
    <t>EV</t>
  </si>
  <si>
    <t>Subscription service</t>
  </si>
  <si>
    <t>Professional Service</t>
  </si>
  <si>
    <t>Contract</t>
  </si>
  <si>
    <t>S&amp;M</t>
  </si>
  <si>
    <t>G&amp;A</t>
  </si>
  <si>
    <t>Seq Sub Growth %</t>
  </si>
  <si>
    <t>Yoy Sub Growth</t>
  </si>
  <si>
    <t>Q124</t>
  </si>
  <si>
    <t>Q224</t>
  </si>
  <si>
    <t>Q324</t>
  </si>
  <si>
    <t>FY25</t>
  </si>
  <si>
    <t>FY24</t>
  </si>
  <si>
    <t>BK</t>
  </si>
  <si>
    <t>over 2 years</t>
  </si>
  <si>
    <t>Rule of 40</t>
  </si>
  <si>
    <t>Gross Margin %</t>
  </si>
  <si>
    <t>ARR</t>
  </si>
  <si>
    <t>Restaurant Rev</t>
  </si>
  <si>
    <t>Restaurant Rev Y/Y</t>
  </si>
  <si>
    <t>Q424</t>
  </si>
  <si>
    <t>Q125</t>
  </si>
  <si>
    <t>Misc (CCL, etc.)</t>
  </si>
  <si>
    <t>Rest 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</si>
</sst>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0" xfId="0" applyNumberFormat="1"/>
    <xf numFmtId="3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0" fillId="0" borderId="0" xfId="0" applyNumberFormat="1"/>
    <xf numFmtId="3" fontId="0" fillId="0" borderId="0" xfId="0" applyNumberFormat="1" applyAlignment="1">
      <alignment horizontal="right"/>
    </xf>
    <xf numFmtId="4" fontId="0" fillId="0" borderId="0" xfId="0" applyNumberFormat="1"/>
    <xf numFmtId="4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9" fontId="2" fillId="0" borderId="0" xfId="0" applyNumberFormat="1" applyFont="1" applyAlignment="1">
      <alignment horizontal="right"/>
    </xf>
    <xf numFmtId="0" fontId="2" fillId="0" borderId="0" xfId="0" applyFont="1"/>
    <xf numFmtId="9" fontId="0" fillId="0" borderId="0" xfId="0" applyNumberFormat="1" applyAlignment="1">
      <alignment horizontal="right"/>
    </xf>
    <xf numFmtId="0" fontId="0" fillId="0" borderId="1" xfId="0" applyBorder="1"/>
    <xf numFmtId="9" fontId="2" fillId="0" borderId="1" xfId="3" applyFont="1" applyBorder="1"/>
    <xf numFmtId="3" fontId="0" fillId="0" borderId="1" xfId="0" applyNumberFormat="1" applyBorder="1"/>
    <xf numFmtId="9" fontId="0" fillId="0" borderId="1" xfId="3" applyFont="1" applyBorder="1"/>
    <xf numFmtId="44" fontId="0" fillId="0" borderId="1" xfId="2" applyFont="1" applyBorder="1"/>
    <xf numFmtId="164" fontId="0" fillId="0" borderId="1" xfId="1" applyNumberFormat="1" applyFont="1" applyBorder="1"/>
    <xf numFmtId="44" fontId="2" fillId="0" borderId="1" xfId="2" applyFont="1" applyBorder="1"/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0" xfId="0" applyNumberFormat="1"/>
    <xf numFmtId="165" fontId="2" fillId="0" borderId="0" xfId="0" applyNumberFormat="1" applyFont="1"/>
    <xf numFmtId="9" fontId="0" fillId="0" borderId="0" xfId="3" applyFont="1"/>
    <xf numFmtId="8" fontId="0" fillId="0" borderId="1" xfId="2" applyNumberFormat="1" applyFont="1" applyBorder="1"/>
    <xf numFmtId="9" fontId="0" fillId="0" borderId="0" xfId="3" applyFont="1" applyAlignment="1">
      <alignment horizontal="right"/>
    </xf>
    <xf numFmtId="0" fontId="0" fillId="2" borderId="0" xfId="0" applyFill="1"/>
    <xf numFmtId="0" fontId="0" fillId="2" borderId="0" xfId="0" applyFill="1" applyAlignment="1">
      <alignment horizontal="right"/>
    </xf>
    <xf numFmtId="1" fontId="0" fillId="2" borderId="0" xfId="0" applyNumberFormat="1" applyFill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0" xfId="0" applyNumberFormat="1" applyFill="1"/>
    <xf numFmtId="9" fontId="0" fillId="2" borderId="0" xfId="3" applyFont="1" applyFill="1"/>
    <xf numFmtId="44" fontId="0" fillId="0" borderId="0" xfId="2" applyFont="1"/>
    <xf numFmtId="0" fontId="3" fillId="0" borderId="0" xfId="0" applyFont="1"/>
    <xf numFmtId="43" fontId="3" fillId="0" borderId="0" xfId="1" applyFont="1" applyAlignment="1">
      <alignment horizontal="right"/>
    </xf>
    <xf numFmtId="3" fontId="3" fillId="0" borderId="0" xfId="0" applyNumberFormat="1" applyFont="1"/>
    <xf numFmtId="43" fontId="3" fillId="0" borderId="0" xfId="0" applyNumberFormat="1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4BCE-B845-4194-9F64-44C45D0BF29A}">
  <dimension ref="K5:L10"/>
  <sheetViews>
    <sheetView workbookViewId="0">
      <selection activeCell="L6" sqref="L6"/>
    </sheetView>
  </sheetViews>
  <sheetFormatPr defaultRowHeight="15" x14ac:dyDescent="0.25"/>
  <sheetData>
    <row r="5" spans="11:12" x14ac:dyDescent="0.25">
      <c r="K5" t="s">
        <v>41</v>
      </c>
      <c r="L5" s="8">
        <v>69</v>
      </c>
    </row>
    <row r="6" spans="11:12" x14ac:dyDescent="0.25">
      <c r="K6" t="s">
        <v>26</v>
      </c>
      <c r="L6" s="6">
        <v>37</v>
      </c>
    </row>
    <row r="7" spans="11:12" x14ac:dyDescent="0.25">
      <c r="K7" t="s">
        <v>42</v>
      </c>
      <c r="L7" s="6">
        <f>+L5*L6</f>
        <v>2553</v>
      </c>
    </row>
    <row r="8" spans="11:12" x14ac:dyDescent="0.25">
      <c r="K8" t="s">
        <v>30</v>
      </c>
      <c r="L8" s="6">
        <v>74.563000000000002</v>
      </c>
    </row>
    <row r="9" spans="11:12" x14ac:dyDescent="0.25">
      <c r="K9" t="s">
        <v>37</v>
      </c>
      <c r="L9" s="6">
        <v>295.19</v>
      </c>
    </row>
    <row r="10" spans="11:12" x14ac:dyDescent="0.25">
      <c r="K10" t="s">
        <v>43</v>
      </c>
      <c r="L10" s="6">
        <f>+L7-L8+L9</f>
        <v>2773.627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FAD33-99C5-4121-980B-8556C8EA76DD}">
  <dimension ref="A1:DH63"/>
  <sheetViews>
    <sheetView tabSelected="1" zoomScale="110" zoomScaleNormal="110" workbookViewId="0">
      <pane xSplit="1" topLeftCell="W1" activePane="topRight" state="frozen"/>
      <selection pane="topRight" activeCell="AD27" sqref="AD27"/>
    </sheetView>
  </sheetViews>
  <sheetFormatPr defaultRowHeight="15" x14ac:dyDescent="0.25"/>
  <cols>
    <col min="1" max="1" width="19.140625" bestFit="1" customWidth="1"/>
    <col min="2" max="3" width="9.140625" style="1"/>
    <col min="4" max="4" width="9.7109375" style="1" bestFit="1" customWidth="1"/>
    <col min="5" max="5" width="11" style="1" bestFit="1" customWidth="1"/>
    <col min="6" max="6" width="9.85546875" style="1" bestFit="1" customWidth="1"/>
    <col min="7" max="9" width="9.140625" style="1"/>
    <col min="10" max="10" width="7.7109375" style="1" bestFit="1" customWidth="1"/>
    <col min="11" max="12" width="9.7109375" style="1" bestFit="1" customWidth="1"/>
    <col min="13" max="13" width="10.85546875" style="1" bestFit="1" customWidth="1"/>
    <col min="14" max="16" width="9.7109375" bestFit="1" customWidth="1"/>
    <col min="17" max="17" width="10.85546875" bestFit="1" customWidth="1"/>
    <col min="18" max="18" width="9.7109375" bestFit="1" customWidth="1"/>
    <col min="19" max="19" width="11.5703125" bestFit="1" customWidth="1"/>
    <col min="20" max="20" width="9.7109375" bestFit="1" customWidth="1"/>
    <col min="21" max="21" width="10.85546875" bestFit="1" customWidth="1"/>
    <col min="22" max="22" width="9.7109375" bestFit="1" customWidth="1"/>
    <col min="26" max="26" width="12.7109375" bestFit="1" customWidth="1"/>
    <col min="27" max="27" width="11.28515625" bestFit="1" customWidth="1"/>
    <col min="29" max="29" width="13.42578125" bestFit="1" customWidth="1"/>
    <col min="30" max="30" width="10.5703125" bestFit="1" customWidth="1"/>
    <col min="31" max="31" width="9.42578125" bestFit="1" customWidth="1"/>
  </cols>
  <sheetData>
    <row r="1" spans="1:112" x14ac:dyDescent="0.25">
      <c r="D1" s="2">
        <v>44104</v>
      </c>
      <c r="E1" s="2">
        <v>44196</v>
      </c>
      <c r="F1" s="2">
        <v>44286</v>
      </c>
      <c r="K1" s="2">
        <v>44742</v>
      </c>
      <c r="L1" s="2">
        <v>44834</v>
      </c>
      <c r="M1" s="2">
        <v>44926</v>
      </c>
      <c r="N1" s="3">
        <v>45016</v>
      </c>
      <c r="O1" s="2">
        <v>45107</v>
      </c>
      <c r="P1" s="3">
        <v>45199</v>
      </c>
      <c r="Q1" s="2">
        <v>45291</v>
      </c>
      <c r="R1" s="3">
        <v>45382</v>
      </c>
      <c r="S1" s="2">
        <v>45473</v>
      </c>
      <c r="T1" s="3">
        <v>45565</v>
      </c>
      <c r="U1" s="2">
        <v>45657</v>
      </c>
      <c r="V1" s="3">
        <v>45747</v>
      </c>
      <c r="Z1" t="s">
        <v>0</v>
      </c>
    </row>
    <row r="2" spans="1:112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38</v>
      </c>
      <c r="Q2" s="1" t="s">
        <v>39</v>
      </c>
      <c r="R2" s="1" t="s">
        <v>51</v>
      </c>
      <c r="S2" s="1" t="s">
        <v>52</v>
      </c>
      <c r="T2" s="1" t="s">
        <v>53</v>
      </c>
      <c r="U2" s="1" t="s">
        <v>63</v>
      </c>
      <c r="V2" s="1" t="s">
        <v>64</v>
      </c>
      <c r="W2" s="1"/>
      <c r="X2" s="1" t="s">
        <v>55</v>
      </c>
      <c r="Y2" s="1" t="s">
        <v>54</v>
      </c>
      <c r="Z2" s="1">
        <v>2018</v>
      </c>
      <c r="AA2" s="1">
        <v>2019</v>
      </c>
      <c r="AB2">
        <v>2020</v>
      </c>
      <c r="AC2">
        <f>+AB2+1</f>
        <v>2021</v>
      </c>
      <c r="AD2">
        <f t="shared" ref="AD2:AF2" si="0">+AC2+1</f>
        <v>2022</v>
      </c>
      <c r="AE2">
        <f t="shared" si="0"/>
        <v>2023</v>
      </c>
      <c r="AF2">
        <f t="shared" si="0"/>
        <v>2024</v>
      </c>
      <c r="AG2">
        <v>2025</v>
      </c>
      <c r="AH2">
        <v>2026</v>
      </c>
      <c r="AI2">
        <v>2027</v>
      </c>
      <c r="AJ2">
        <v>2028</v>
      </c>
      <c r="AK2">
        <v>2029</v>
      </c>
      <c r="AL2">
        <v>2030</v>
      </c>
    </row>
    <row r="3" spans="1:112" x14ac:dyDescent="0.25">
      <c r="A3" t="s">
        <v>40</v>
      </c>
      <c r="D3" s="21"/>
      <c r="E3" s="21"/>
      <c r="F3" s="21"/>
      <c r="G3" s="21"/>
      <c r="H3" s="21"/>
      <c r="I3" s="21"/>
      <c r="J3" s="22">
        <v>25.073</v>
      </c>
      <c r="K3" s="22">
        <v>28.39</v>
      </c>
      <c r="L3" s="22">
        <v>31.343</v>
      </c>
      <c r="M3" s="22">
        <v>29.59</v>
      </c>
      <c r="N3" s="22">
        <v>26.777000000000001</v>
      </c>
      <c r="O3" s="23">
        <v>26.39</v>
      </c>
      <c r="P3" s="23">
        <v>25.824000000000002</v>
      </c>
      <c r="Q3" s="23">
        <v>24.4</v>
      </c>
      <c r="R3" s="23">
        <v>18.225999999999999</v>
      </c>
      <c r="S3" s="23">
        <v>20.116</v>
      </c>
      <c r="T3" s="23">
        <v>22.65</v>
      </c>
      <c r="U3" s="23">
        <v>26.047999999999998</v>
      </c>
    </row>
    <row r="4" spans="1:112" x14ac:dyDescent="0.25">
      <c r="A4" s="28" t="s">
        <v>44</v>
      </c>
      <c r="B4" s="29"/>
      <c r="C4" s="29"/>
      <c r="D4" s="30"/>
      <c r="E4" s="30"/>
      <c r="F4" s="30"/>
      <c r="G4" s="30"/>
      <c r="H4" s="30"/>
      <c r="I4" s="30"/>
      <c r="J4" s="31">
        <v>21.285</v>
      </c>
      <c r="K4" s="31">
        <v>23.15</v>
      </c>
      <c r="L4" s="31">
        <v>25.17</v>
      </c>
      <c r="M4" s="31">
        <v>27.908000000000001</v>
      </c>
      <c r="N4" s="31">
        <v>27.965</v>
      </c>
      <c r="O4" s="32">
        <v>30.372</v>
      </c>
      <c r="P4" s="32">
        <v>31.363</v>
      </c>
      <c r="Q4" s="32">
        <v>32.896999999999998</v>
      </c>
      <c r="R4" s="32">
        <v>38.378999999999998</v>
      </c>
      <c r="S4" s="32">
        <v>44.872</v>
      </c>
      <c r="T4" s="32">
        <v>59.908999999999999</v>
      </c>
      <c r="U4" s="32">
        <v>64.262</v>
      </c>
      <c r="X4">
        <f>1.15*Q4</f>
        <v>37.831549999999993</v>
      </c>
      <c r="Y4" s="23">
        <f>Q4+23.4</f>
        <v>56.296999999999997</v>
      </c>
    </row>
    <row r="5" spans="1:112" x14ac:dyDescent="0.25">
      <c r="A5" t="s">
        <v>45</v>
      </c>
      <c r="D5" s="21"/>
      <c r="E5" s="21"/>
      <c r="F5" s="21"/>
      <c r="G5" s="21"/>
      <c r="H5" s="21"/>
      <c r="I5" s="21"/>
      <c r="J5" s="22">
        <v>12.488</v>
      </c>
      <c r="K5" s="22">
        <v>12.631</v>
      </c>
      <c r="L5" s="22">
        <v>11.84</v>
      </c>
      <c r="M5" s="22">
        <v>13.478999999999999</v>
      </c>
      <c r="N5" s="22">
        <v>13.842000000000001</v>
      </c>
      <c r="O5" s="23">
        <v>12.766999999999999</v>
      </c>
      <c r="P5" s="23">
        <v>11.513999999999999</v>
      </c>
      <c r="Q5" s="23">
        <v>12.603</v>
      </c>
      <c r="R5" s="23">
        <v>13.468</v>
      </c>
      <c r="S5" s="23">
        <v>13.162000000000001</v>
      </c>
      <c r="T5" s="23">
        <v>14.195</v>
      </c>
      <c r="U5" s="23">
        <v>14.695</v>
      </c>
    </row>
    <row r="6" spans="1:112" x14ac:dyDescent="0.25">
      <c r="A6" t="s">
        <v>46</v>
      </c>
      <c r="J6" s="22">
        <v>21.439</v>
      </c>
      <c r="K6" s="22">
        <v>20.922000000000001</v>
      </c>
      <c r="L6" s="22">
        <v>24.414000000000001</v>
      </c>
      <c r="M6" s="22">
        <v>26.672999999999998</v>
      </c>
      <c r="N6" s="22">
        <v>31.853000000000002</v>
      </c>
      <c r="O6" s="23">
        <v>31.015000000000001</v>
      </c>
      <c r="P6" s="23">
        <v>38.433</v>
      </c>
      <c r="Q6" s="23">
        <v>37.808</v>
      </c>
      <c r="R6" s="23">
        <v>35.423999999999999</v>
      </c>
      <c r="S6" s="23">
        <v>0</v>
      </c>
      <c r="T6" s="23">
        <v>0</v>
      </c>
      <c r="U6" s="23">
        <v>0</v>
      </c>
    </row>
    <row r="7" spans="1:112" x14ac:dyDescent="0.25">
      <c r="A7" s="28" t="s">
        <v>50</v>
      </c>
      <c r="B7" s="29"/>
      <c r="C7" s="29"/>
      <c r="D7" s="29"/>
      <c r="E7" s="29"/>
      <c r="F7" s="29"/>
      <c r="G7" s="29"/>
      <c r="H7" s="29"/>
      <c r="I7" s="29"/>
      <c r="J7" s="31"/>
      <c r="K7" s="31"/>
      <c r="L7" s="31"/>
      <c r="M7" s="31"/>
      <c r="N7" s="33">
        <f>(N4-J4)/J4</f>
        <v>0.31383603476626731</v>
      </c>
      <c r="O7" s="33">
        <f>(O4-K4)/K4</f>
        <v>0.31196544276457888</v>
      </c>
      <c r="P7" s="33">
        <f>(P4-L4)/L4</f>
        <v>0.24604688120778695</v>
      </c>
      <c r="Q7" s="33">
        <f>(Q4-M4)/M4</f>
        <v>0.17876594524867412</v>
      </c>
      <c r="R7" s="33">
        <f>(R4-N4)/N4</f>
        <v>0.3723940640085821</v>
      </c>
      <c r="S7" s="33">
        <f>(S4-O4)/O4</f>
        <v>0.47741340708547347</v>
      </c>
      <c r="T7" s="33">
        <f>(T4-P4)/P4</f>
        <v>0.91018078627682297</v>
      </c>
      <c r="U7" s="33">
        <f>(U4-Q4)/Q4</f>
        <v>0.95343040398820567</v>
      </c>
    </row>
    <row r="8" spans="1:112" x14ac:dyDescent="0.25">
      <c r="A8" t="s">
        <v>49</v>
      </c>
      <c r="J8" s="27"/>
      <c r="K8" s="27">
        <f>(K4-J4)/J4</f>
        <v>8.7620389945971267E-2</v>
      </c>
      <c r="L8" s="27">
        <f t="shared" ref="L8:U8" si="1">(L4-K4)/K4</f>
        <v>8.7257019438445063E-2</v>
      </c>
      <c r="M8" s="27">
        <f t="shared" si="1"/>
        <v>0.10878029400079457</v>
      </c>
      <c r="N8" s="27">
        <f t="shared" si="1"/>
        <v>2.0424251110792106E-3</v>
      </c>
      <c r="O8" s="27">
        <f t="shared" si="1"/>
        <v>8.6071875558734134E-2</v>
      </c>
      <c r="P8" s="27">
        <f t="shared" si="1"/>
        <v>3.2628736994600276E-2</v>
      </c>
      <c r="Q8" s="27">
        <f t="shared" si="1"/>
        <v>4.8911137327423998E-2</v>
      </c>
      <c r="R8" s="27">
        <f t="shared" si="1"/>
        <v>0.16664133507614676</v>
      </c>
      <c r="S8" s="27">
        <f t="shared" si="1"/>
        <v>0.16918106256025436</v>
      </c>
      <c r="T8" s="27">
        <f t="shared" si="1"/>
        <v>0.33510875378855409</v>
      </c>
      <c r="U8" s="27">
        <f>(U4-T4)/T4</f>
        <v>7.2660201305313088E-2</v>
      </c>
      <c r="AC8" s="25">
        <f>(AC13-AB13)/AB13</f>
        <v>0.32317364093065015</v>
      </c>
      <c r="AD8" s="25">
        <f>(AD13-AC13)/AC13</f>
        <v>0.25777725929382483</v>
      </c>
      <c r="AE8" s="25">
        <f>(AE13-AD13)/AD13</f>
        <v>0.1687151309040319</v>
      </c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</row>
    <row r="9" spans="1:112" x14ac:dyDescent="0.25">
      <c r="A9" t="s">
        <v>59</v>
      </c>
      <c r="J9" s="27"/>
      <c r="K9" s="27">
        <f t="shared" ref="K9:U9" si="2">K15/K13</f>
        <v>0.24821078114533499</v>
      </c>
      <c r="L9" s="27">
        <f t="shared" si="2"/>
        <v>0.23077171839123842</v>
      </c>
      <c r="M9" s="27">
        <f t="shared" si="2"/>
        <v>0.26780337941628274</v>
      </c>
      <c r="N9" s="27">
        <f t="shared" si="2"/>
        <v>0.23092087577287265</v>
      </c>
      <c r="O9" s="27">
        <f t="shared" si="2"/>
        <v>0.20418921069382562</v>
      </c>
      <c r="P9" s="27">
        <f t="shared" si="2"/>
        <v>0.2630910821961282</v>
      </c>
      <c r="Q9" s="27">
        <f t="shared" si="2"/>
        <v>0.2451164258922271</v>
      </c>
      <c r="R9" s="27">
        <f t="shared" si="2"/>
        <v>0.27074703546072393</v>
      </c>
      <c r="S9" s="27">
        <f t="shared" si="2"/>
        <v>0.40982725527831099</v>
      </c>
      <c r="T9" s="27">
        <f t="shared" si="2"/>
        <v>0.44474647043016308</v>
      </c>
      <c r="U9" s="27">
        <f t="shared" si="2"/>
        <v>0.42861768487214896</v>
      </c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</row>
    <row r="10" spans="1:112" x14ac:dyDescent="0.25">
      <c r="A10" t="s">
        <v>58</v>
      </c>
      <c r="J10" s="22"/>
      <c r="K10" s="27">
        <f t="shared" ref="K10:U10" si="3">K8+K9</f>
        <v>0.33583117109130622</v>
      </c>
      <c r="L10" s="27">
        <f t="shared" si="3"/>
        <v>0.31802873782968349</v>
      </c>
      <c r="M10" s="27">
        <f t="shared" si="3"/>
        <v>0.37658367341707732</v>
      </c>
      <c r="N10" s="27">
        <f t="shared" si="3"/>
        <v>0.23296330088395187</v>
      </c>
      <c r="O10" s="27">
        <f t="shared" si="3"/>
        <v>0.29026108625255975</v>
      </c>
      <c r="P10" s="27">
        <f t="shared" si="3"/>
        <v>0.29571981919072848</v>
      </c>
      <c r="Q10" s="27">
        <f t="shared" si="3"/>
        <v>0.29402756321965107</v>
      </c>
      <c r="R10" s="27">
        <f t="shared" si="3"/>
        <v>0.43738837053687069</v>
      </c>
      <c r="S10" s="27">
        <f t="shared" si="3"/>
        <v>0.57900831783856532</v>
      </c>
      <c r="T10" s="27">
        <f t="shared" si="3"/>
        <v>0.77985522421871711</v>
      </c>
      <c r="U10" s="27">
        <f t="shared" si="3"/>
        <v>0.50127788617746205</v>
      </c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</row>
    <row r="11" spans="1:112" x14ac:dyDescent="0.25">
      <c r="J11" s="22"/>
      <c r="K11" s="27"/>
      <c r="L11" s="27"/>
      <c r="M11" s="27"/>
      <c r="N11" s="27"/>
      <c r="O11" s="27"/>
      <c r="P11" s="27"/>
      <c r="Q11" s="27"/>
      <c r="AA11" t="s">
        <v>60</v>
      </c>
      <c r="AB11" s="34"/>
      <c r="AC11" s="34"/>
      <c r="AD11" s="34"/>
      <c r="AE11" s="34">
        <v>136.9</v>
      </c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</row>
    <row r="12" spans="1:112" x14ac:dyDescent="0.25">
      <c r="A12" s="35" t="s">
        <v>61</v>
      </c>
      <c r="J12" s="36">
        <f t="shared" ref="J12:U12" si="4">SUM(J3:J5)</f>
        <v>58.846000000000004</v>
      </c>
      <c r="K12" s="36">
        <f t="shared" si="4"/>
        <v>64.170999999999992</v>
      </c>
      <c r="L12" s="36">
        <f t="shared" si="4"/>
        <v>68.353000000000009</v>
      </c>
      <c r="M12" s="36">
        <f t="shared" si="4"/>
        <v>70.977000000000004</v>
      </c>
      <c r="N12" s="36">
        <f t="shared" si="4"/>
        <v>68.584000000000003</v>
      </c>
      <c r="O12" s="36">
        <f t="shared" si="4"/>
        <v>69.528999999999996</v>
      </c>
      <c r="P12" s="36">
        <f t="shared" si="4"/>
        <v>68.700999999999993</v>
      </c>
      <c r="Q12" s="36">
        <f t="shared" si="4"/>
        <v>69.899999999999991</v>
      </c>
      <c r="R12" s="36">
        <f t="shared" si="4"/>
        <v>70.072999999999993</v>
      </c>
      <c r="S12" s="36">
        <f t="shared" si="4"/>
        <v>78.150000000000006</v>
      </c>
      <c r="T12" s="36">
        <f t="shared" si="4"/>
        <v>96.753999999999991</v>
      </c>
      <c r="U12" s="36">
        <f t="shared" si="4"/>
        <v>105.005</v>
      </c>
      <c r="AD12" s="38">
        <f>SUM(J12:M12)</f>
        <v>262.34699999999998</v>
      </c>
      <c r="AE12" s="38">
        <f>SUM(N12:Q12)</f>
        <v>276.714</v>
      </c>
      <c r="AF12" s="4">
        <f>AE12*(1+$AD$32)</f>
        <v>304.3854</v>
      </c>
      <c r="AG12" s="4">
        <f t="shared" ref="AG12:AL12" si="5">AF12*(1+$AD$32)</f>
        <v>334.82394000000005</v>
      </c>
      <c r="AH12" s="4">
        <f t="shared" si="5"/>
        <v>368.30633400000011</v>
      </c>
      <c r="AI12" s="4">
        <f t="shared" si="5"/>
        <v>405.13696740000017</v>
      </c>
      <c r="AJ12" s="4">
        <f t="shared" si="5"/>
        <v>445.65066414000023</v>
      </c>
      <c r="AK12" s="4">
        <f t="shared" si="5"/>
        <v>490.21573055400029</v>
      </c>
      <c r="AL12" s="4">
        <f t="shared" si="5"/>
        <v>539.23730360940033</v>
      </c>
      <c r="AM12" s="4">
        <f>AL12*(1+$AD$33)</f>
        <v>544.62967664549433</v>
      </c>
      <c r="AN12" s="4">
        <f t="shared" ref="AN12:CY12" si="6">AM12*(1+$AD$33)</f>
        <v>550.07597341194924</v>
      </c>
      <c r="AO12" s="4">
        <f t="shared" si="6"/>
        <v>555.5767331460687</v>
      </c>
      <c r="AP12" s="4">
        <f t="shared" si="6"/>
        <v>561.13250047752945</v>
      </c>
      <c r="AQ12" s="4">
        <f t="shared" si="6"/>
        <v>566.74382548230471</v>
      </c>
      <c r="AR12" s="4">
        <f t="shared" si="6"/>
        <v>572.4112637371278</v>
      </c>
      <c r="AS12" s="4">
        <f t="shared" si="6"/>
        <v>578.13537637449906</v>
      </c>
      <c r="AT12" s="4">
        <f t="shared" si="6"/>
        <v>583.91673013824402</v>
      </c>
      <c r="AU12" s="4">
        <f t="shared" si="6"/>
        <v>589.75589743962644</v>
      </c>
      <c r="AV12" s="4">
        <f t="shared" si="6"/>
        <v>595.65345641402268</v>
      </c>
      <c r="AW12" s="4">
        <f t="shared" si="6"/>
        <v>601.60999097816295</v>
      </c>
      <c r="AX12" s="4">
        <f t="shared" si="6"/>
        <v>607.62609088794454</v>
      </c>
      <c r="AY12" s="4">
        <f t="shared" si="6"/>
        <v>613.70235179682402</v>
      </c>
      <c r="AZ12" s="4">
        <f t="shared" si="6"/>
        <v>619.83937531479228</v>
      </c>
      <c r="BA12" s="4">
        <f t="shared" si="6"/>
        <v>626.03776906794019</v>
      </c>
      <c r="BB12" s="4">
        <f t="shared" si="6"/>
        <v>632.29814675861962</v>
      </c>
      <c r="BC12" s="4">
        <f t="shared" si="6"/>
        <v>638.62112822620577</v>
      </c>
      <c r="BD12" s="4">
        <f t="shared" si="6"/>
        <v>645.00733950846779</v>
      </c>
      <c r="BE12" s="4">
        <f t="shared" si="6"/>
        <v>651.45741290355249</v>
      </c>
      <c r="BF12" s="4">
        <f t="shared" si="6"/>
        <v>657.971987032588</v>
      </c>
      <c r="BG12" s="4">
        <f t="shared" si="6"/>
        <v>664.55170690291391</v>
      </c>
      <c r="BH12" s="4">
        <f t="shared" si="6"/>
        <v>671.197223971943</v>
      </c>
      <c r="BI12" s="4">
        <f t="shared" si="6"/>
        <v>677.90919621166245</v>
      </c>
      <c r="BJ12" s="4">
        <f t="shared" si="6"/>
        <v>684.68828817377903</v>
      </c>
      <c r="BK12" s="4">
        <f t="shared" si="6"/>
        <v>691.5351710555168</v>
      </c>
      <c r="BL12" s="4">
        <f t="shared" si="6"/>
        <v>698.45052276607203</v>
      </c>
      <c r="BM12" s="4">
        <f t="shared" si="6"/>
        <v>705.43502799373277</v>
      </c>
      <c r="BN12" s="4">
        <f t="shared" si="6"/>
        <v>712.48937827367013</v>
      </c>
      <c r="BO12" s="4">
        <f t="shared" si="6"/>
        <v>719.61427205640689</v>
      </c>
      <c r="BP12" s="4">
        <f t="shared" si="6"/>
        <v>726.81041477697102</v>
      </c>
      <c r="BQ12" s="4">
        <f t="shared" si="6"/>
        <v>734.07851892474071</v>
      </c>
      <c r="BR12" s="4">
        <f t="shared" si="6"/>
        <v>741.41930411398812</v>
      </c>
      <c r="BS12" s="4">
        <f t="shared" si="6"/>
        <v>748.83349715512804</v>
      </c>
      <c r="BT12" s="4">
        <f t="shared" si="6"/>
        <v>756.32183212667928</v>
      </c>
      <c r="BU12" s="4">
        <f t="shared" si="6"/>
        <v>763.88505044794613</v>
      </c>
      <c r="BV12" s="4">
        <f t="shared" si="6"/>
        <v>771.52390095242561</v>
      </c>
      <c r="BW12" s="4">
        <f t="shared" si="6"/>
        <v>779.23913996194983</v>
      </c>
      <c r="BX12" s="4">
        <f t="shared" si="6"/>
        <v>787.03153136156936</v>
      </c>
      <c r="BY12" s="4">
        <f t="shared" si="6"/>
        <v>794.90184667518508</v>
      </c>
      <c r="BZ12" s="4">
        <f t="shared" si="6"/>
        <v>802.85086514193699</v>
      </c>
      <c r="CA12" s="4">
        <f t="shared" si="6"/>
        <v>810.87937379335642</v>
      </c>
      <c r="CB12" s="4">
        <f t="shared" si="6"/>
        <v>818.98816753128995</v>
      </c>
      <c r="CC12" s="4">
        <f t="shared" si="6"/>
        <v>827.17804920660285</v>
      </c>
      <c r="CD12" s="4">
        <f t="shared" si="6"/>
        <v>835.44982969866885</v>
      </c>
      <c r="CE12" s="4">
        <f t="shared" si="6"/>
        <v>843.80432799565551</v>
      </c>
      <c r="CF12" s="4">
        <f t="shared" si="6"/>
        <v>852.24237127561207</v>
      </c>
      <c r="CG12" s="4">
        <f t="shared" si="6"/>
        <v>860.76479498836818</v>
      </c>
      <c r="CH12" s="4">
        <f t="shared" si="6"/>
        <v>869.37244293825188</v>
      </c>
      <c r="CI12" s="4">
        <f t="shared" si="6"/>
        <v>878.06616736763442</v>
      </c>
      <c r="CJ12" s="4">
        <f t="shared" si="6"/>
        <v>886.8468290413108</v>
      </c>
      <c r="CK12" s="4">
        <f t="shared" si="6"/>
        <v>895.71529733172395</v>
      </c>
      <c r="CL12" s="4">
        <f t="shared" si="6"/>
        <v>904.67245030504114</v>
      </c>
      <c r="CM12" s="4">
        <f t="shared" si="6"/>
        <v>913.71917480809157</v>
      </c>
      <c r="CN12" s="4">
        <f t="shared" si="6"/>
        <v>922.85636655617247</v>
      </c>
      <c r="CO12" s="4">
        <f t="shared" si="6"/>
        <v>932.08493022173423</v>
      </c>
      <c r="CP12" s="4">
        <f t="shared" si="6"/>
        <v>941.40577952395154</v>
      </c>
      <c r="CQ12" s="4">
        <f t="shared" si="6"/>
        <v>950.81983731919104</v>
      </c>
      <c r="CR12" s="4">
        <f t="shared" si="6"/>
        <v>960.32803569238297</v>
      </c>
      <c r="CS12" s="4">
        <f t="shared" si="6"/>
        <v>969.93131604930682</v>
      </c>
      <c r="CT12" s="4">
        <f t="shared" si="6"/>
        <v>979.63062920979985</v>
      </c>
      <c r="CU12" s="4">
        <f t="shared" si="6"/>
        <v>989.4269355018979</v>
      </c>
      <c r="CV12" s="4">
        <f t="shared" si="6"/>
        <v>999.32120485691689</v>
      </c>
      <c r="CW12" s="4">
        <f t="shared" si="6"/>
        <v>1009.314416905486</v>
      </c>
      <c r="CX12" s="4">
        <f t="shared" si="6"/>
        <v>1019.4075610745409</v>
      </c>
      <c r="CY12" s="4">
        <f t="shared" si="6"/>
        <v>1029.6016366852864</v>
      </c>
      <c r="CZ12" s="4">
        <f t="shared" ref="CZ12:DH12" si="7">CY12*(1+$AD$33)</f>
        <v>1039.8976530521393</v>
      </c>
      <c r="DA12" s="4">
        <f t="shared" si="7"/>
        <v>1050.2966295826607</v>
      </c>
      <c r="DB12" s="4">
        <f t="shared" si="7"/>
        <v>1060.7995958784873</v>
      </c>
      <c r="DC12" s="4">
        <f t="shared" si="7"/>
        <v>1071.4075918372721</v>
      </c>
      <c r="DD12" s="4">
        <f t="shared" si="7"/>
        <v>1082.1216677556449</v>
      </c>
      <c r="DE12" s="4">
        <f t="shared" si="7"/>
        <v>1092.9428844332015</v>
      </c>
      <c r="DF12" s="4">
        <f t="shared" si="7"/>
        <v>1103.8723132775335</v>
      </c>
      <c r="DG12" s="4">
        <f t="shared" si="7"/>
        <v>1114.911036410309</v>
      </c>
      <c r="DH12" s="4">
        <f t="shared" si="7"/>
        <v>1126.060146774412</v>
      </c>
    </row>
    <row r="13" spans="1:112" s="4" customFormat="1" ht="12.75" x14ac:dyDescent="0.2">
      <c r="A13" s="4" t="s">
        <v>15</v>
      </c>
      <c r="B13" s="5"/>
      <c r="C13" s="5"/>
      <c r="D13" s="5"/>
      <c r="E13" s="5"/>
      <c r="F13" s="5"/>
      <c r="G13" s="5"/>
      <c r="H13" s="5"/>
      <c r="I13" s="5"/>
      <c r="J13" s="24">
        <f t="shared" ref="J13:U13" si="8">SUM(J3:J6)</f>
        <v>80.284999999999997</v>
      </c>
      <c r="K13" s="24">
        <f t="shared" si="8"/>
        <v>85.092999999999989</v>
      </c>
      <c r="L13" s="24">
        <f t="shared" si="8"/>
        <v>92.76700000000001</v>
      </c>
      <c r="M13" s="24">
        <f t="shared" si="8"/>
        <v>97.65</v>
      </c>
      <c r="N13" s="24">
        <f t="shared" si="8"/>
        <v>100.43700000000001</v>
      </c>
      <c r="O13" s="24">
        <f t="shared" si="8"/>
        <v>100.544</v>
      </c>
      <c r="P13" s="24">
        <f t="shared" si="8"/>
        <v>107.13399999999999</v>
      </c>
      <c r="Q13" s="24">
        <f t="shared" si="8"/>
        <v>107.708</v>
      </c>
      <c r="R13" s="24">
        <f t="shared" si="8"/>
        <v>105.49699999999999</v>
      </c>
      <c r="S13" s="24">
        <f t="shared" si="8"/>
        <v>78.150000000000006</v>
      </c>
      <c r="T13" s="24">
        <f t="shared" si="8"/>
        <v>96.753999999999991</v>
      </c>
      <c r="U13" s="24">
        <f t="shared" si="8"/>
        <v>105.005</v>
      </c>
      <c r="AB13" s="4">
        <v>213.786</v>
      </c>
      <c r="AC13" s="4">
        <v>282.87599999999998</v>
      </c>
      <c r="AD13" s="4">
        <f>SUM(J13:M13)</f>
        <v>355.79499999999996</v>
      </c>
      <c r="AE13" s="4">
        <f>SUM(N13:Q13)</f>
        <v>415.82299999999998</v>
      </c>
      <c r="AF13" s="4">
        <f>SUM(R13:U13)</f>
        <v>385.40599999999995</v>
      </c>
      <c r="AG13" s="4">
        <f t="shared" ref="AF13:AL15" si="9">AF13*(1+$AA$32)</f>
        <v>462.48719999999992</v>
      </c>
      <c r="AH13" s="4">
        <f t="shared" si="9"/>
        <v>554.9846399999999</v>
      </c>
      <c r="AI13" s="4">
        <f t="shared" si="9"/>
        <v>665.98156799999981</v>
      </c>
      <c r="AJ13" s="4">
        <f t="shared" si="9"/>
        <v>799.17788159999975</v>
      </c>
      <c r="AK13" s="4">
        <f t="shared" si="9"/>
        <v>959.01345791999961</v>
      </c>
      <c r="AL13" s="4">
        <f t="shared" si="9"/>
        <v>1150.8161495039994</v>
      </c>
      <c r="AM13" s="4">
        <f>AL13*(1+$AA$33)</f>
        <v>1139.3079880089595</v>
      </c>
      <c r="AN13" s="4">
        <f t="shared" ref="AN13:CY13" si="10">AM13*(1+$AA$33)</f>
        <v>1127.9149081288699</v>
      </c>
      <c r="AO13" s="4">
        <f t="shared" si="10"/>
        <v>1116.6357590475811</v>
      </c>
      <c r="AP13" s="4">
        <f t="shared" si="10"/>
        <v>1105.4694014571053</v>
      </c>
      <c r="AQ13" s="4">
        <f t="shared" si="10"/>
        <v>1094.4147074425341</v>
      </c>
      <c r="AR13" s="4">
        <f t="shared" si="10"/>
        <v>1083.4705603681089</v>
      </c>
      <c r="AS13" s="4">
        <f t="shared" si="10"/>
        <v>1072.6358547644277</v>
      </c>
      <c r="AT13" s="4">
        <f t="shared" si="10"/>
        <v>1061.9094962167833</v>
      </c>
      <c r="AU13" s="4">
        <f t="shared" si="10"/>
        <v>1051.2904012546155</v>
      </c>
      <c r="AV13" s="4">
        <f t="shared" si="10"/>
        <v>1040.7774972420693</v>
      </c>
      <c r="AW13" s="4">
        <f t="shared" si="10"/>
        <v>1030.3697222696487</v>
      </c>
      <c r="AX13" s="4">
        <f t="shared" si="10"/>
        <v>1020.0660250469522</v>
      </c>
      <c r="AY13" s="4">
        <f t="shared" si="10"/>
        <v>1009.8653647964826</v>
      </c>
      <c r="AZ13" s="4">
        <f t="shared" si="10"/>
        <v>999.76671114851774</v>
      </c>
      <c r="BA13" s="4">
        <f t="shared" si="10"/>
        <v>989.76904403703259</v>
      </c>
      <c r="BB13" s="4">
        <f t="shared" si="10"/>
        <v>979.87135359666229</v>
      </c>
      <c r="BC13" s="4">
        <f t="shared" si="10"/>
        <v>970.07264006069568</v>
      </c>
      <c r="BD13" s="4">
        <f t="shared" si="10"/>
        <v>960.37191366008869</v>
      </c>
      <c r="BE13" s="4">
        <f t="shared" si="10"/>
        <v>950.76819452348775</v>
      </c>
      <c r="BF13" s="4">
        <f t="shared" si="10"/>
        <v>941.26051257825281</v>
      </c>
      <c r="BG13" s="4">
        <f t="shared" si="10"/>
        <v>931.84790745247028</v>
      </c>
      <c r="BH13" s="4">
        <f t="shared" si="10"/>
        <v>922.52942837794558</v>
      </c>
      <c r="BI13" s="4">
        <f t="shared" si="10"/>
        <v>913.3041340941661</v>
      </c>
      <c r="BJ13" s="4">
        <f t="shared" si="10"/>
        <v>904.17109275322446</v>
      </c>
      <c r="BK13" s="4">
        <f t="shared" si="10"/>
        <v>895.12938182569223</v>
      </c>
      <c r="BL13" s="4">
        <f t="shared" si="10"/>
        <v>886.17808800743535</v>
      </c>
      <c r="BM13" s="4">
        <f t="shared" si="10"/>
        <v>877.31630712736103</v>
      </c>
      <c r="BN13" s="4">
        <f t="shared" si="10"/>
        <v>868.54314405608739</v>
      </c>
      <c r="BO13" s="4">
        <f t="shared" si="10"/>
        <v>859.85771261552645</v>
      </c>
      <c r="BP13" s="4">
        <f t="shared" si="10"/>
        <v>851.25913548937115</v>
      </c>
      <c r="BQ13" s="4">
        <f t="shared" si="10"/>
        <v>842.7465441344774</v>
      </c>
      <c r="BR13" s="4">
        <f t="shared" si="10"/>
        <v>834.31907869313261</v>
      </c>
      <c r="BS13" s="4">
        <f t="shared" si="10"/>
        <v>825.97588790620125</v>
      </c>
      <c r="BT13" s="4">
        <f t="shared" si="10"/>
        <v>817.71612902713923</v>
      </c>
      <c r="BU13" s="4">
        <f t="shared" si="10"/>
        <v>809.53896773686779</v>
      </c>
      <c r="BV13" s="4">
        <f t="shared" si="10"/>
        <v>801.44357805949915</v>
      </c>
      <c r="BW13" s="4">
        <f t="shared" si="10"/>
        <v>793.42914227890412</v>
      </c>
      <c r="BX13" s="4">
        <f t="shared" si="10"/>
        <v>785.49485085611502</v>
      </c>
      <c r="BY13" s="4">
        <f t="shared" si="10"/>
        <v>777.63990234755386</v>
      </c>
      <c r="BZ13" s="4">
        <f t="shared" si="10"/>
        <v>769.86350332407835</v>
      </c>
      <c r="CA13" s="4">
        <f t="shared" si="10"/>
        <v>762.1648682908376</v>
      </c>
      <c r="CB13" s="4">
        <f t="shared" si="10"/>
        <v>754.54321960792925</v>
      </c>
      <c r="CC13" s="4">
        <f t="shared" si="10"/>
        <v>746.99778741184991</v>
      </c>
      <c r="CD13" s="4">
        <f t="shared" si="10"/>
        <v>739.5278095377314</v>
      </c>
      <c r="CE13" s="4">
        <f t="shared" si="10"/>
        <v>732.13253144235409</v>
      </c>
      <c r="CF13" s="4">
        <f t="shared" si="10"/>
        <v>724.81120612793052</v>
      </c>
      <c r="CG13" s="4">
        <f t="shared" si="10"/>
        <v>717.56309406665116</v>
      </c>
      <c r="CH13" s="4">
        <f t="shared" si="10"/>
        <v>710.3874631259846</v>
      </c>
      <c r="CI13" s="4">
        <f t="shared" si="10"/>
        <v>703.28358849472477</v>
      </c>
      <c r="CJ13" s="4">
        <f t="shared" si="10"/>
        <v>696.25075260977746</v>
      </c>
      <c r="CK13" s="4">
        <f t="shared" si="10"/>
        <v>689.28824508367973</v>
      </c>
      <c r="CL13" s="4">
        <f t="shared" si="10"/>
        <v>682.39536263284288</v>
      </c>
      <c r="CM13" s="4">
        <f t="shared" si="10"/>
        <v>675.57140900651439</v>
      </c>
      <c r="CN13" s="4">
        <f t="shared" si="10"/>
        <v>668.81569491644927</v>
      </c>
      <c r="CO13" s="4">
        <f t="shared" si="10"/>
        <v>662.12753796728475</v>
      </c>
      <c r="CP13" s="4">
        <f t="shared" si="10"/>
        <v>655.5062625876119</v>
      </c>
      <c r="CQ13" s="4">
        <f t="shared" si="10"/>
        <v>648.95119996173582</v>
      </c>
      <c r="CR13" s="4">
        <f t="shared" si="10"/>
        <v>642.4616879621185</v>
      </c>
      <c r="CS13" s="4">
        <f t="shared" si="10"/>
        <v>636.03707108249728</v>
      </c>
      <c r="CT13" s="4">
        <f t="shared" si="10"/>
        <v>629.67670037167227</v>
      </c>
      <c r="CU13" s="4">
        <f t="shared" si="10"/>
        <v>623.37993336795557</v>
      </c>
      <c r="CV13" s="4">
        <f t="shared" si="10"/>
        <v>617.14613403427597</v>
      </c>
      <c r="CW13" s="4">
        <f t="shared" si="10"/>
        <v>610.97467269393326</v>
      </c>
      <c r="CX13" s="4">
        <f t="shared" si="10"/>
        <v>604.86492596699395</v>
      </c>
      <c r="CY13" s="4">
        <f t="shared" si="10"/>
        <v>598.81627670732405</v>
      </c>
      <c r="CZ13" s="4">
        <f t="shared" ref="CZ13:DH13" si="11">CY13*(1+$AA$33)</f>
        <v>592.82811394025077</v>
      </c>
      <c r="DA13" s="4">
        <f t="shared" si="11"/>
        <v>586.89983280084823</v>
      </c>
      <c r="DB13" s="4">
        <f t="shared" si="11"/>
        <v>581.03083447283973</v>
      </c>
      <c r="DC13" s="4">
        <f t="shared" si="11"/>
        <v>575.22052612811137</v>
      </c>
      <c r="DD13" s="4">
        <f t="shared" si="11"/>
        <v>569.46832086683025</v>
      </c>
      <c r="DE13" s="4">
        <f t="shared" si="11"/>
        <v>563.77363765816199</v>
      </c>
      <c r="DF13" s="4">
        <f t="shared" si="11"/>
        <v>558.13590128158035</v>
      </c>
      <c r="DG13" s="4">
        <f t="shared" si="11"/>
        <v>552.55454226876452</v>
      </c>
      <c r="DH13" s="4">
        <f t="shared" si="11"/>
        <v>547.02899684607689</v>
      </c>
    </row>
    <row r="14" spans="1:112" s="6" customFormat="1" x14ac:dyDescent="0.25">
      <c r="A14" s="6" t="s">
        <v>16</v>
      </c>
      <c r="B14" s="7"/>
      <c r="C14" s="7"/>
      <c r="D14" s="7"/>
      <c r="E14" s="7"/>
      <c r="F14" s="7"/>
      <c r="G14" s="7"/>
      <c r="H14" s="7"/>
      <c r="I14" s="7"/>
      <c r="J14" s="22">
        <f>59.672</f>
        <v>59.671999999999997</v>
      </c>
      <c r="K14" s="22">
        <f>63.972</f>
        <v>63.972000000000001</v>
      </c>
      <c r="L14" s="22">
        <f>71.359</f>
        <v>71.358999999999995</v>
      </c>
      <c r="M14" s="22">
        <f>71.499</f>
        <v>71.498999999999995</v>
      </c>
      <c r="N14" s="23">
        <f>77.244</f>
        <v>77.244</v>
      </c>
      <c r="O14" s="23">
        <f>80.014</f>
        <v>80.013999999999996</v>
      </c>
      <c r="P14" s="23">
        <f>78.948</f>
        <v>78.947999999999993</v>
      </c>
      <c r="Q14" s="23">
        <v>81.307000000000002</v>
      </c>
      <c r="R14" s="6">
        <v>76.933999999999997</v>
      </c>
      <c r="S14" s="6">
        <v>46.122</v>
      </c>
      <c r="T14" s="6">
        <f>53.723</f>
        <v>53.722999999999999</v>
      </c>
      <c r="U14" s="6">
        <f>59.998</f>
        <v>59.997999999999998</v>
      </c>
      <c r="AC14" s="25">
        <f>(AC13-AB13)/AB13</f>
        <v>0.32317364093065015</v>
      </c>
      <c r="AD14" s="25">
        <f>(AD13-AC13)/AC13</f>
        <v>0.25777725929382483</v>
      </c>
      <c r="AE14" s="25">
        <f>(AE13-AD13)/AD13</f>
        <v>0.1687151309040319</v>
      </c>
      <c r="AF14" s="25">
        <f>(AF13-AE13)/AE13</f>
        <v>-7.3148911916849316E-2</v>
      </c>
      <c r="AG14" s="25">
        <f>(AG13-AF13)/AF13</f>
        <v>0.19999999999999993</v>
      </c>
    </row>
    <row r="15" spans="1:112" s="6" customFormat="1" x14ac:dyDescent="0.25">
      <c r="A15" s="6" t="s">
        <v>17</v>
      </c>
      <c r="B15" s="7"/>
      <c r="C15" s="7"/>
      <c r="D15" s="7"/>
      <c r="E15" s="7"/>
      <c r="F15" s="7"/>
      <c r="G15" s="7"/>
      <c r="H15" s="7"/>
      <c r="I15" s="7"/>
      <c r="J15" s="23">
        <f t="shared" ref="J15:U15" si="12">J13-J14</f>
        <v>20.613</v>
      </c>
      <c r="K15" s="23">
        <f t="shared" si="12"/>
        <v>21.120999999999988</v>
      </c>
      <c r="L15" s="23">
        <f t="shared" si="12"/>
        <v>21.408000000000015</v>
      </c>
      <c r="M15" s="23">
        <f t="shared" si="12"/>
        <v>26.15100000000001</v>
      </c>
      <c r="N15" s="23">
        <f t="shared" si="12"/>
        <v>23.193000000000012</v>
      </c>
      <c r="O15" s="23">
        <f t="shared" si="12"/>
        <v>20.53</v>
      </c>
      <c r="P15" s="23">
        <f t="shared" si="12"/>
        <v>28.185999999999993</v>
      </c>
      <c r="Q15" s="23">
        <f t="shared" si="12"/>
        <v>26.400999999999996</v>
      </c>
      <c r="R15" s="23">
        <f t="shared" si="12"/>
        <v>28.562999999999988</v>
      </c>
      <c r="S15" s="23">
        <f t="shared" si="12"/>
        <v>32.028000000000006</v>
      </c>
      <c r="T15" s="23">
        <f t="shared" si="12"/>
        <v>43.030999999999992</v>
      </c>
      <c r="U15" s="23">
        <f t="shared" si="12"/>
        <v>45.006999999999998</v>
      </c>
      <c r="AA15" s="6" t="s">
        <v>66</v>
      </c>
      <c r="AB15" s="4">
        <v>213.786</v>
      </c>
      <c r="AC15" s="4">
        <v>282.87599999999998</v>
      </c>
      <c r="AD15" s="4">
        <f>SUM(J12:M12)</f>
        <v>262.34699999999998</v>
      </c>
      <c r="AE15" s="4">
        <f>SUM(N12:Q12)</f>
        <v>276.714</v>
      </c>
      <c r="AF15" s="4">
        <f>SUM(R12:U12)</f>
        <v>349.98199999999997</v>
      </c>
      <c r="AG15" s="4">
        <f t="shared" si="9"/>
        <v>419.97839999999997</v>
      </c>
      <c r="AH15" s="4">
        <f t="shared" ref="AH15" si="13">AG15*(1+$AA$32)</f>
        <v>503.97407999999996</v>
      </c>
      <c r="AI15" s="4">
        <f t="shared" ref="AI15" si="14">AH15*(1+$AA$32)</f>
        <v>604.76889599999993</v>
      </c>
      <c r="AJ15" s="4">
        <f t="shared" ref="AJ15" si="15">AI15*(1+$AA$32)</f>
        <v>725.72267519999991</v>
      </c>
      <c r="AK15" s="4">
        <f t="shared" ref="AK15" si="16">AJ15*(1+$AA$32)</f>
        <v>870.86721023999985</v>
      </c>
      <c r="AL15" s="4">
        <f t="shared" ref="AL15" si="17">AK15*(1+$AA$32)</f>
        <v>1045.0406522879998</v>
      </c>
      <c r="AM15" s="4">
        <f>AL15*(1+$AA$33)</f>
        <v>1034.5902457651198</v>
      </c>
      <c r="AN15" s="4">
        <f t="shared" ref="AN15:CY15" si="18">AM15*(1+$AA$33)</f>
        <v>1024.2443433074686</v>
      </c>
      <c r="AO15" s="4">
        <f t="shared" si="18"/>
        <v>1014.001899874394</v>
      </c>
      <c r="AP15" s="4">
        <f t="shared" si="18"/>
        <v>1003.8618808756501</v>
      </c>
      <c r="AQ15" s="4">
        <f t="shared" si="18"/>
        <v>993.82326206689356</v>
      </c>
      <c r="AR15" s="4">
        <f t="shared" si="18"/>
        <v>983.88502944622462</v>
      </c>
      <c r="AS15" s="4">
        <f t="shared" si="18"/>
        <v>974.04617915176232</v>
      </c>
      <c r="AT15" s="4">
        <f t="shared" si="18"/>
        <v>964.30571736024467</v>
      </c>
      <c r="AU15" s="4">
        <f t="shared" si="18"/>
        <v>954.66266018664226</v>
      </c>
      <c r="AV15" s="4">
        <f t="shared" si="18"/>
        <v>945.11603358477578</v>
      </c>
      <c r="AW15" s="4">
        <f t="shared" si="18"/>
        <v>935.66487324892796</v>
      </c>
      <c r="AX15" s="4">
        <f t="shared" si="18"/>
        <v>926.30822451643871</v>
      </c>
      <c r="AY15" s="4">
        <f t="shared" si="18"/>
        <v>917.04514227127436</v>
      </c>
      <c r="AZ15" s="4">
        <f t="shared" si="18"/>
        <v>907.87469084856161</v>
      </c>
      <c r="BA15" s="4">
        <f t="shared" si="18"/>
        <v>898.79594394007597</v>
      </c>
      <c r="BB15" s="4">
        <f t="shared" si="18"/>
        <v>889.80798450067516</v>
      </c>
      <c r="BC15" s="4">
        <f t="shared" si="18"/>
        <v>880.90990465566836</v>
      </c>
      <c r="BD15" s="4">
        <f t="shared" si="18"/>
        <v>872.10080560911172</v>
      </c>
      <c r="BE15" s="4">
        <f t="shared" si="18"/>
        <v>863.37979755302058</v>
      </c>
      <c r="BF15" s="4">
        <f t="shared" si="18"/>
        <v>854.74599957749035</v>
      </c>
      <c r="BG15" s="4">
        <f t="shared" si="18"/>
        <v>846.19853958171541</v>
      </c>
      <c r="BH15" s="4">
        <f t="shared" si="18"/>
        <v>837.73655418589829</v>
      </c>
      <c r="BI15" s="4">
        <f t="shared" si="18"/>
        <v>829.35918864403925</v>
      </c>
      <c r="BJ15" s="4">
        <f t="shared" si="18"/>
        <v>821.06559675759888</v>
      </c>
      <c r="BK15" s="4">
        <f t="shared" si="18"/>
        <v>812.85494079002285</v>
      </c>
      <c r="BL15" s="4">
        <f t="shared" si="18"/>
        <v>804.72639138212264</v>
      </c>
      <c r="BM15" s="4">
        <f t="shared" si="18"/>
        <v>796.67912746830143</v>
      </c>
      <c r="BN15" s="4">
        <f t="shared" si="18"/>
        <v>788.7123361936184</v>
      </c>
      <c r="BO15" s="4">
        <f t="shared" si="18"/>
        <v>780.82521283168217</v>
      </c>
      <c r="BP15" s="4">
        <f t="shared" si="18"/>
        <v>773.01696070336538</v>
      </c>
      <c r="BQ15" s="4">
        <f t="shared" si="18"/>
        <v>765.28679109633174</v>
      </c>
      <c r="BR15" s="4">
        <f t="shared" si="18"/>
        <v>757.63392318536842</v>
      </c>
      <c r="BS15" s="4">
        <f t="shared" si="18"/>
        <v>750.05758395351472</v>
      </c>
      <c r="BT15" s="4">
        <f t="shared" si="18"/>
        <v>742.55700811397958</v>
      </c>
      <c r="BU15" s="4">
        <f t="shared" si="18"/>
        <v>735.13143803283981</v>
      </c>
      <c r="BV15" s="4">
        <f t="shared" si="18"/>
        <v>727.78012365251141</v>
      </c>
      <c r="BW15" s="4">
        <f t="shared" si="18"/>
        <v>720.50232241598633</v>
      </c>
      <c r="BX15" s="4">
        <f t="shared" si="18"/>
        <v>713.29729919182648</v>
      </c>
      <c r="BY15" s="4">
        <f t="shared" si="18"/>
        <v>706.16432619990826</v>
      </c>
      <c r="BZ15" s="4">
        <f t="shared" si="18"/>
        <v>699.10268293790921</v>
      </c>
      <c r="CA15" s="4">
        <f t="shared" si="18"/>
        <v>692.11165610853016</v>
      </c>
      <c r="CB15" s="4">
        <f t="shared" si="18"/>
        <v>685.19053954744481</v>
      </c>
      <c r="CC15" s="4">
        <f t="shared" si="18"/>
        <v>678.33863415197038</v>
      </c>
      <c r="CD15" s="4">
        <f t="shared" si="18"/>
        <v>671.55524781045062</v>
      </c>
      <c r="CE15" s="4">
        <f t="shared" si="18"/>
        <v>664.83969533234608</v>
      </c>
      <c r="CF15" s="4">
        <f t="shared" si="18"/>
        <v>658.19129837902267</v>
      </c>
      <c r="CG15" s="4">
        <f t="shared" si="18"/>
        <v>651.60938539523238</v>
      </c>
      <c r="CH15" s="4">
        <f t="shared" si="18"/>
        <v>645.09329154128</v>
      </c>
      <c r="CI15" s="4">
        <f t="shared" si="18"/>
        <v>638.64235862586725</v>
      </c>
      <c r="CJ15" s="4">
        <f t="shared" si="18"/>
        <v>632.25593503960852</v>
      </c>
      <c r="CK15" s="4">
        <f t="shared" si="18"/>
        <v>625.93337568921243</v>
      </c>
      <c r="CL15" s="4">
        <f t="shared" si="18"/>
        <v>619.67404193232028</v>
      </c>
      <c r="CM15" s="4">
        <f t="shared" si="18"/>
        <v>613.47730151299709</v>
      </c>
      <c r="CN15" s="4">
        <f t="shared" si="18"/>
        <v>607.34252849786708</v>
      </c>
      <c r="CO15" s="4">
        <f t="shared" si="18"/>
        <v>601.26910321288835</v>
      </c>
      <c r="CP15" s="4">
        <f t="shared" si="18"/>
        <v>595.25641218075941</v>
      </c>
      <c r="CQ15" s="4">
        <f t="shared" si="18"/>
        <v>589.30384805895176</v>
      </c>
      <c r="CR15" s="4">
        <f t="shared" si="18"/>
        <v>583.4108095783622</v>
      </c>
      <c r="CS15" s="4">
        <f t="shared" si="18"/>
        <v>577.57670148257853</v>
      </c>
      <c r="CT15" s="4">
        <f t="shared" si="18"/>
        <v>571.80093446775277</v>
      </c>
      <c r="CU15" s="4">
        <f t="shared" si="18"/>
        <v>566.08292512307526</v>
      </c>
      <c r="CV15" s="4">
        <f t="shared" si="18"/>
        <v>560.42209587184448</v>
      </c>
      <c r="CW15" s="4">
        <f t="shared" si="18"/>
        <v>554.81787491312605</v>
      </c>
      <c r="CX15" s="4">
        <f t="shared" si="18"/>
        <v>549.26969616399481</v>
      </c>
      <c r="CY15" s="4">
        <f t="shared" si="18"/>
        <v>543.77699920235489</v>
      </c>
      <c r="CZ15" s="4">
        <f t="shared" ref="CZ15:DH15" si="19">CY15*(1+$AA$33)</f>
        <v>538.33922921033138</v>
      </c>
      <c r="DA15" s="4">
        <f t="shared" si="19"/>
        <v>532.9558369182281</v>
      </c>
      <c r="DB15" s="4">
        <f t="shared" si="19"/>
        <v>527.62627854904576</v>
      </c>
      <c r="DC15" s="4">
        <f t="shared" si="19"/>
        <v>522.35001576355535</v>
      </c>
      <c r="DD15" s="4">
        <f t="shared" si="19"/>
        <v>517.12651560591974</v>
      </c>
      <c r="DE15" s="4">
        <f t="shared" si="19"/>
        <v>511.95525044986056</v>
      </c>
      <c r="DF15" s="4">
        <f t="shared" si="19"/>
        <v>506.83569794536197</v>
      </c>
      <c r="DG15" s="4">
        <f t="shared" si="19"/>
        <v>501.76734096590837</v>
      </c>
      <c r="DH15" s="4">
        <f t="shared" si="19"/>
        <v>496.74966755624928</v>
      </c>
    </row>
    <row r="16" spans="1:112" s="6" customFormat="1" x14ac:dyDescent="0.25">
      <c r="A16" s="6" t="s">
        <v>18</v>
      </c>
      <c r="B16" s="7"/>
      <c r="C16" s="7"/>
      <c r="D16" s="7"/>
      <c r="E16" s="7"/>
      <c r="F16" s="7"/>
      <c r="G16" s="7"/>
      <c r="H16" s="7"/>
      <c r="I16" s="7"/>
      <c r="J16" s="22">
        <f>10.841</f>
        <v>10.840999999999999</v>
      </c>
      <c r="K16" s="22">
        <f>10.101</f>
        <v>10.101000000000001</v>
      </c>
      <c r="L16" s="22">
        <f>12.843</f>
        <v>12.843</v>
      </c>
      <c r="M16" s="23">
        <v>14.493</v>
      </c>
      <c r="N16" s="23">
        <f>14.315</f>
        <v>14.315</v>
      </c>
      <c r="O16" s="23">
        <f>14.888</f>
        <v>14.888</v>
      </c>
      <c r="P16" s="23">
        <v>14.66</v>
      </c>
      <c r="Q16" s="23">
        <v>14.493</v>
      </c>
      <c r="R16" s="6">
        <f>15.768</f>
        <v>15.768000000000001</v>
      </c>
      <c r="S16" s="6">
        <f>16.237</f>
        <v>16.236999999999998</v>
      </c>
      <c r="T16" s="6">
        <v>17.821000000000002</v>
      </c>
      <c r="U16" s="6">
        <v>17.431999999999999</v>
      </c>
      <c r="AE16" s="25">
        <f>(AE15-AD15)/AD15</f>
        <v>5.4763347779848905E-2</v>
      </c>
      <c r="AF16" s="25">
        <f>(AF15-AE15)/AE15</f>
        <v>0.26477879688053357</v>
      </c>
      <c r="AG16" s="25"/>
    </row>
    <row r="17" spans="1:30" s="6" customFormat="1" x14ac:dyDescent="0.25">
      <c r="A17" s="6" t="s">
        <v>47</v>
      </c>
      <c r="B17" s="7"/>
      <c r="C17" s="7"/>
      <c r="D17" s="7"/>
      <c r="E17" s="7"/>
      <c r="F17" s="7"/>
      <c r="G17" s="7"/>
      <c r="H17" s="7"/>
      <c r="I17" s="7"/>
      <c r="J17" s="23">
        <v>0</v>
      </c>
      <c r="K17" s="23">
        <v>0</v>
      </c>
      <c r="L17" s="23">
        <v>0</v>
      </c>
      <c r="M17" s="22">
        <v>9.2100000000000009</v>
      </c>
      <c r="N17" s="23">
        <f>0</f>
        <v>0</v>
      </c>
      <c r="O17" s="23">
        <f>25.63</f>
        <v>25.63</v>
      </c>
      <c r="P17" s="23">
        <v>0</v>
      </c>
      <c r="Q17" s="23">
        <v>9.5079999999999991</v>
      </c>
      <c r="R17" s="6">
        <f>10.926</f>
        <v>10.926</v>
      </c>
      <c r="S17" s="6">
        <f>9.811</f>
        <v>9.8109999999999999</v>
      </c>
      <c r="T17" s="6">
        <v>10.5</v>
      </c>
      <c r="U17" s="6">
        <v>10.471</v>
      </c>
    </row>
    <row r="18" spans="1:30" s="6" customFormat="1" x14ac:dyDescent="0.25">
      <c r="A18" s="6" t="s">
        <v>48</v>
      </c>
      <c r="B18" s="7"/>
      <c r="C18" s="7"/>
      <c r="D18" s="7"/>
      <c r="E18" s="7"/>
      <c r="F18" s="7"/>
      <c r="G18" s="7"/>
      <c r="H18" s="7"/>
      <c r="I18" s="7"/>
      <c r="J18" s="22">
        <f>22.368</f>
        <v>22.367999999999999</v>
      </c>
      <c r="K18" s="22">
        <f>26.398</f>
        <v>26.398</v>
      </c>
      <c r="L18" s="22">
        <f>26.543</f>
        <v>26.542999999999999</v>
      </c>
      <c r="M18" s="22">
        <v>16.7</v>
      </c>
      <c r="N18" s="23">
        <f>27.478</f>
        <v>27.478000000000002</v>
      </c>
      <c r="O18" s="23">
        <v>0</v>
      </c>
      <c r="P18" s="23">
        <v>26.248999999999999</v>
      </c>
      <c r="Q18" s="23">
        <f>18.64</f>
        <v>18.64</v>
      </c>
      <c r="R18" s="6">
        <f>25.608</f>
        <v>25.608000000000001</v>
      </c>
      <c r="S18" s="6">
        <f>25.369</f>
        <v>25.369</v>
      </c>
      <c r="T18" s="6">
        <v>27.352</v>
      </c>
      <c r="U18" s="6">
        <v>31.001999999999999</v>
      </c>
    </row>
    <row r="19" spans="1:30" s="6" customFormat="1" x14ac:dyDescent="0.25">
      <c r="A19" s="6" t="s">
        <v>65</v>
      </c>
      <c r="B19" s="7"/>
      <c r="C19" s="7"/>
      <c r="D19" s="7"/>
      <c r="E19" s="7"/>
      <c r="F19" s="7"/>
      <c r="G19" s="7"/>
      <c r="H19" s="7"/>
      <c r="I19" s="7"/>
      <c r="J19" s="22">
        <v>0</v>
      </c>
      <c r="K19" s="22">
        <v>0.72099999999999997</v>
      </c>
      <c r="L19" s="22">
        <f>0</f>
        <v>0</v>
      </c>
      <c r="M19" s="22">
        <f>-4.4+0.464</f>
        <v>-3.9360000000000004</v>
      </c>
      <c r="N19" s="23">
        <f>-5.2+0.464</f>
        <v>-4.7359999999999998</v>
      </c>
      <c r="O19" s="23">
        <f>-2.3+0.465-0.5</f>
        <v>-2.335</v>
      </c>
      <c r="P19" s="23">
        <f>0.464</f>
        <v>0.46400000000000002</v>
      </c>
      <c r="Q19" s="23">
        <f>-1.7+0.465</f>
        <v>-1.2349999999999999</v>
      </c>
      <c r="R19" s="6">
        <f>0+0.932</f>
        <v>0.93200000000000005</v>
      </c>
      <c r="S19" s="6">
        <f>-0.6+1.946</f>
        <v>1.3460000000000001</v>
      </c>
      <c r="T19" s="6">
        <f>2.699+-0.147</f>
        <v>2.552</v>
      </c>
      <c r="U19" s="6">
        <f>2.875+-0.348</f>
        <v>2.5270000000000001</v>
      </c>
    </row>
    <row r="20" spans="1:30" s="6" customFormat="1" ht="14.25" customHeight="1" x14ac:dyDescent="0.25">
      <c r="A20" s="6" t="s">
        <v>19</v>
      </c>
      <c r="B20" s="7"/>
      <c r="C20" s="7"/>
      <c r="D20" s="7"/>
      <c r="E20" s="7"/>
      <c r="F20" s="7"/>
      <c r="G20" s="7"/>
      <c r="H20" s="7"/>
      <c r="I20" s="7"/>
      <c r="J20" s="23">
        <f t="shared" ref="J20:U20" si="20">SUM(J16:J19)</f>
        <v>33.208999999999996</v>
      </c>
      <c r="K20" s="23">
        <f t="shared" si="20"/>
        <v>37.22</v>
      </c>
      <c r="L20" s="23">
        <f t="shared" si="20"/>
        <v>39.385999999999996</v>
      </c>
      <c r="M20" s="23">
        <f t="shared" si="20"/>
        <v>36.467000000000006</v>
      </c>
      <c r="N20" s="23">
        <f t="shared" si="20"/>
        <v>37.057000000000002</v>
      </c>
      <c r="O20" s="23">
        <f t="shared" si="20"/>
        <v>38.183</v>
      </c>
      <c r="P20" s="23">
        <f t="shared" si="20"/>
        <v>41.372999999999998</v>
      </c>
      <c r="Q20" s="23">
        <f t="shared" si="20"/>
        <v>41.405999999999999</v>
      </c>
      <c r="R20" s="23">
        <f t="shared" si="20"/>
        <v>53.234000000000009</v>
      </c>
      <c r="S20" s="23">
        <f t="shared" si="20"/>
        <v>52.763000000000005</v>
      </c>
      <c r="T20" s="23">
        <f t="shared" si="20"/>
        <v>58.225000000000001</v>
      </c>
      <c r="U20" s="23">
        <f t="shared" si="20"/>
        <v>61.432000000000002</v>
      </c>
    </row>
    <row r="21" spans="1:30" s="6" customFormat="1" x14ac:dyDescent="0.25">
      <c r="A21" s="6" t="s">
        <v>20</v>
      </c>
      <c r="B21" s="7"/>
      <c r="C21" s="7"/>
      <c r="D21" s="7"/>
      <c r="E21" s="7"/>
      <c r="F21" s="7"/>
      <c r="G21" s="7"/>
      <c r="H21" s="7"/>
      <c r="I21" s="7"/>
      <c r="J21" s="23">
        <f t="shared" ref="J21:U21" si="21">J15-J20</f>
        <v>-12.595999999999997</v>
      </c>
      <c r="K21" s="23">
        <f t="shared" si="21"/>
        <v>-16.099000000000011</v>
      </c>
      <c r="L21" s="23">
        <f t="shared" si="21"/>
        <v>-17.97799999999998</v>
      </c>
      <c r="M21" s="23">
        <f t="shared" si="21"/>
        <v>-10.315999999999995</v>
      </c>
      <c r="N21" s="23">
        <f t="shared" si="21"/>
        <v>-13.86399999999999</v>
      </c>
      <c r="O21" s="23">
        <f t="shared" si="21"/>
        <v>-17.652999999999999</v>
      </c>
      <c r="P21" s="23">
        <f t="shared" si="21"/>
        <v>-13.187000000000005</v>
      </c>
      <c r="Q21" s="23">
        <f t="shared" si="21"/>
        <v>-15.005000000000003</v>
      </c>
      <c r="R21" s="23">
        <f t="shared" si="21"/>
        <v>-24.671000000000021</v>
      </c>
      <c r="S21" s="23">
        <f t="shared" si="21"/>
        <v>-20.734999999999999</v>
      </c>
      <c r="T21" s="23">
        <f t="shared" si="21"/>
        <v>-15.19400000000001</v>
      </c>
      <c r="U21" s="23">
        <f t="shared" si="21"/>
        <v>-16.425000000000004</v>
      </c>
    </row>
    <row r="22" spans="1:30" s="6" customFormat="1" x14ac:dyDescent="0.25">
      <c r="A22" s="6" t="s">
        <v>21</v>
      </c>
      <c r="B22" s="7"/>
      <c r="C22" s="7"/>
      <c r="D22" s="7"/>
      <c r="E22" s="7"/>
      <c r="F22" s="7"/>
      <c r="G22" s="7"/>
      <c r="H22" s="7"/>
      <c r="I22" s="7"/>
      <c r="J22" s="22">
        <f>-2.463-0.368</f>
        <v>-2.831</v>
      </c>
      <c r="K22" s="22">
        <f>-2.451+-0.257</f>
        <v>-2.7080000000000002</v>
      </c>
      <c r="L22" s="22">
        <f>-2.14-0.179</f>
        <v>-2.319</v>
      </c>
      <c r="M22" s="22">
        <f>-1.747+-0.42</f>
        <v>-2.1670000000000003</v>
      </c>
      <c r="N22" s="23">
        <f>-1.667-0.059</f>
        <v>-1.726</v>
      </c>
      <c r="O22" s="23">
        <f>-1.735</f>
        <v>-1.7350000000000001</v>
      </c>
      <c r="P22" s="23">
        <f>-1.75-0.373</f>
        <v>-2.1230000000000002</v>
      </c>
      <c r="Q22" s="23">
        <f>-1.779</f>
        <v>-1.7789999999999999</v>
      </c>
      <c r="R22" s="6">
        <f>-1.708+0.306</f>
        <v>-1.4019999999999999</v>
      </c>
      <c r="S22" s="6">
        <f>-1.63</f>
        <v>-1.63</v>
      </c>
      <c r="T22" s="6">
        <f>-3.417</f>
        <v>-3.4169999999999998</v>
      </c>
      <c r="U22" s="6">
        <f>-3.412+-6.56+2.856</f>
        <v>-7.1159999999999997</v>
      </c>
    </row>
    <row r="23" spans="1:30" s="6" customFormat="1" x14ac:dyDescent="0.25">
      <c r="A23" s="6" t="s">
        <v>22</v>
      </c>
      <c r="B23" s="7"/>
      <c r="C23" s="7"/>
      <c r="D23" s="7"/>
      <c r="E23" s="7"/>
      <c r="F23" s="7"/>
      <c r="G23" s="7"/>
      <c r="H23" s="7"/>
      <c r="I23" s="7"/>
      <c r="J23" s="23">
        <f t="shared" ref="J23:U23" si="22">J21+J22</f>
        <v>-15.426999999999996</v>
      </c>
      <c r="K23" s="23">
        <f t="shared" si="22"/>
        <v>-18.807000000000009</v>
      </c>
      <c r="L23" s="23">
        <f t="shared" si="22"/>
        <v>-20.296999999999979</v>
      </c>
      <c r="M23" s="23">
        <f t="shared" si="22"/>
        <v>-12.482999999999995</v>
      </c>
      <c r="N23" s="23">
        <f t="shared" si="22"/>
        <v>-15.589999999999989</v>
      </c>
      <c r="O23" s="23">
        <f t="shared" si="22"/>
        <v>-19.387999999999998</v>
      </c>
      <c r="P23" s="23">
        <f t="shared" si="22"/>
        <v>-15.310000000000006</v>
      </c>
      <c r="Q23" s="23">
        <f t="shared" si="22"/>
        <v>-16.784000000000002</v>
      </c>
      <c r="R23" s="23">
        <f t="shared" si="22"/>
        <v>-26.073000000000022</v>
      </c>
      <c r="S23" s="23">
        <f t="shared" si="22"/>
        <v>-22.364999999999998</v>
      </c>
      <c r="T23" s="23">
        <f t="shared" si="22"/>
        <v>-18.611000000000011</v>
      </c>
      <c r="U23" s="23">
        <f t="shared" si="22"/>
        <v>-23.541000000000004</v>
      </c>
    </row>
    <row r="24" spans="1:30" s="6" customFormat="1" x14ac:dyDescent="0.25">
      <c r="A24" s="6" t="s">
        <v>23</v>
      </c>
      <c r="B24" s="7"/>
      <c r="C24" s="7"/>
      <c r="D24" s="7"/>
      <c r="E24" s="7"/>
      <c r="F24" s="7"/>
      <c r="G24" s="7"/>
      <c r="H24" s="7"/>
      <c r="I24" s="7"/>
      <c r="J24" s="22">
        <f>-0.01</f>
        <v>-0.01</v>
      </c>
      <c r="K24" s="22">
        <f>-0.041</f>
        <v>-4.1000000000000002E-2</v>
      </c>
      <c r="L24" s="22">
        <f>-0.578</f>
        <v>-0.57799999999999996</v>
      </c>
      <c r="M24" s="22">
        <f>-0.623</f>
        <v>-0.623</v>
      </c>
      <c r="N24" s="23">
        <f>-0.315</f>
        <v>-0.315</v>
      </c>
      <c r="O24" s="23">
        <f>-0.409</f>
        <v>-0.40899999999999997</v>
      </c>
      <c r="P24" s="23">
        <f>-0.206</f>
        <v>-0.20599999999999999</v>
      </c>
      <c r="Q24" s="23">
        <v>-1.0580000000000001</v>
      </c>
      <c r="R24" s="6">
        <f>7.785</f>
        <v>7.7850000000000001</v>
      </c>
      <c r="S24" s="6">
        <f>-0.612</f>
        <v>-0.61199999999999999</v>
      </c>
      <c r="T24" s="6">
        <f>-0.653</f>
        <v>-0.65300000000000002</v>
      </c>
      <c r="U24" s="6">
        <f>-1.752</f>
        <v>-1.752</v>
      </c>
    </row>
    <row r="25" spans="1:30" s="6" customFormat="1" x14ac:dyDescent="0.25">
      <c r="A25" s="6" t="s">
        <v>24</v>
      </c>
      <c r="B25" s="7"/>
      <c r="C25" s="7"/>
      <c r="D25" s="7"/>
      <c r="E25" s="7"/>
      <c r="F25" s="7"/>
      <c r="G25" s="7"/>
      <c r="H25" s="7"/>
      <c r="I25" s="7"/>
      <c r="J25" s="23">
        <f t="shared" ref="J25:U25" si="23">J23+J24</f>
        <v>-15.436999999999996</v>
      </c>
      <c r="K25" s="23">
        <f t="shared" si="23"/>
        <v>-18.84800000000001</v>
      </c>
      <c r="L25" s="23">
        <f t="shared" si="23"/>
        <v>-20.874999999999979</v>
      </c>
      <c r="M25" s="23">
        <f t="shared" si="23"/>
        <v>-13.105999999999995</v>
      </c>
      <c r="N25" s="23">
        <f t="shared" si="23"/>
        <v>-15.904999999999989</v>
      </c>
      <c r="O25" s="23">
        <f t="shared" si="23"/>
        <v>-19.796999999999997</v>
      </c>
      <c r="P25" s="23">
        <f t="shared" si="23"/>
        <v>-15.516000000000005</v>
      </c>
      <c r="Q25" s="23">
        <f t="shared" si="23"/>
        <v>-17.842000000000002</v>
      </c>
      <c r="R25" s="23">
        <f t="shared" si="23"/>
        <v>-18.288000000000022</v>
      </c>
      <c r="S25" s="23">
        <f t="shared" si="23"/>
        <v>-22.976999999999997</v>
      </c>
      <c r="T25" s="23">
        <f t="shared" si="23"/>
        <v>-19.26400000000001</v>
      </c>
      <c r="U25" s="23">
        <f t="shared" si="23"/>
        <v>-25.293000000000003</v>
      </c>
    </row>
    <row r="26" spans="1:30" s="8" customFormat="1" x14ac:dyDescent="0.25">
      <c r="A26" s="8" t="s">
        <v>25</v>
      </c>
      <c r="B26" s="9"/>
      <c r="C26" s="9"/>
      <c r="D26" s="9"/>
      <c r="E26" s="9"/>
      <c r="F26" s="9"/>
      <c r="G26" s="9"/>
      <c r="H26" s="9"/>
      <c r="I26" s="9"/>
      <c r="J26" s="23">
        <f t="shared" ref="J26:U26" si="24">J25/J27</f>
        <v>-0.57237671486837216</v>
      </c>
      <c r="K26" s="23">
        <f t="shared" si="24"/>
        <v>-0.69853976725224265</v>
      </c>
      <c r="L26" s="23">
        <f t="shared" si="24"/>
        <v>-0.77001106602729541</v>
      </c>
      <c r="M26" s="23">
        <f t="shared" si="24"/>
        <v>-0.48329522826167104</v>
      </c>
      <c r="N26" s="23">
        <f t="shared" si="24"/>
        <v>-0.58166325336454028</v>
      </c>
      <c r="O26" s="23">
        <f t="shared" si="24"/>
        <v>-0.72365390941989249</v>
      </c>
      <c r="P26" s="23">
        <f t="shared" si="24"/>
        <v>-0.56479324403028552</v>
      </c>
      <c r="Q26" s="23">
        <f t="shared" si="24"/>
        <v>-0.63794336384439365</v>
      </c>
      <c r="R26" s="23">
        <f t="shared" si="24"/>
        <v>-0.61959615124000622</v>
      </c>
      <c r="S26" s="23">
        <f t="shared" si="24"/>
        <v>-0.67549610465970888</v>
      </c>
      <c r="T26" s="23">
        <f t="shared" si="24"/>
        <v>-0.53712533110274663</v>
      </c>
      <c r="U26" s="23">
        <f t="shared" si="24"/>
        <v>-0.67997419146705385</v>
      </c>
    </row>
    <row r="27" spans="1:30" s="6" customFormat="1" x14ac:dyDescent="0.25">
      <c r="A27" s="6" t="s">
        <v>26</v>
      </c>
      <c r="B27" s="7"/>
      <c r="C27" s="7"/>
      <c r="D27" s="7"/>
      <c r="E27" s="7"/>
      <c r="F27" s="7"/>
      <c r="G27" s="7"/>
      <c r="H27" s="7"/>
      <c r="I27" s="7"/>
      <c r="J27" s="22">
        <v>26.97</v>
      </c>
      <c r="K27" s="22">
        <v>26.981999999999999</v>
      </c>
      <c r="L27" s="22">
        <v>27.11</v>
      </c>
      <c r="M27" s="22">
        <v>27.117999999999999</v>
      </c>
      <c r="N27" s="23">
        <v>27.344000000000001</v>
      </c>
      <c r="O27" s="23">
        <v>27.356999999999999</v>
      </c>
      <c r="P27" s="23">
        <v>27.472000000000001</v>
      </c>
      <c r="Q27" s="23">
        <v>27.968</v>
      </c>
      <c r="R27" s="6">
        <v>29.515999999999998</v>
      </c>
      <c r="S27" s="6">
        <f>34.015</f>
        <v>34.015000000000001</v>
      </c>
      <c r="T27" s="6">
        <f>35.865</f>
        <v>35.865000000000002</v>
      </c>
      <c r="U27" s="6">
        <v>37.197000000000003</v>
      </c>
    </row>
    <row r="29" spans="1:30" x14ac:dyDescent="0.25">
      <c r="A29" s="37" t="s">
        <v>62</v>
      </c>
      <c r="N29" s="11">
        <f t="shared" ref="N29:U30" si="25">+N12/J12-1</f>
        <v>0.16548278557591001</v>
      </c>
      <c r="O29" s="11">
        <f t="shared" si="25"/>
        <v>8.3495660033348518E-2</v>
      </c>
      <c r="P29" s="11">
        <f t="shared" si="25"/>
        <v>5.091217649554336E-3</v>
      </c>
      <c r="Q29" s="11">
        <f t="shared" si="25"/>
        <v>-1.517392958282282E-2</v>
      </c>
      <c r="R29" s="11">
        <f t="shared" si="25"/>
        <v>2.1710603056106281E-2</v>
      </c>
      <c r="S29" s="11">
        <f t="shared" si="25"/>
        <v>0.12399142803722207</v>
      </c>
      <c r="T29" s="11">
        <f t="shared" si="25"/>
        <v>0.40833466761764758</v>
      </c>
      <c r="U29" s="11">
        <f t="shared" si="25"/>
        <v>0.50221745350500724</v>
      </c>
    </row>
    <row r="30" spans="1:30" s="12" customFormat="1" ht="12.75" x14ac:dyDescent="0.2">
      <c r="A30" s="4" t="s">
        <v>27</v>
      </c>
      <c r="B30" s="10"/>
      <c r="C30" s="10"/>
      <c r="D30" s="10"/>
      <c r="E30" s="10"/>
      <c r="F30" s="10"/>
      <c r="G30" s="10"/>
      <c r="H30" s="11"/>
      <c r="I30" s="11"/>
      <c r="J30" s="11"/>
      <c r="K30" s="11"/>
      <c r="L30" s="11"/>
      <c r="M30" s="11"/>
      <c r="N30" s="11">
        <f t="shared" si="25"/>
        <v>0.25100579186647587</v>
      </c>
      <c r="O30" s="11">
        <f t="shared" si="25"/>
        <v>0.18157780310953919</v>
      </c>
      <c r="P30" s="11">
        <f t="shared" si="25"/>
        <v>0.15487188332057711</v>
      </c>
      <c r="Q30" s="11">
        <f t="shared" si="25"/>
        <v>0.10300051203276994</v>
      </c>
      <c r="R30" s="11">
        <f t="shared" si="25"/>
        <v>5.0379840098768058E-2</v>
      </c>
      <c r="S30" s="11">
        <f t="shared" si="25"/>
        <v>-0.22272835773392741</v>
      </c>
      <c r="T30" s="11">
        <f t="shared" si="25"/>
        <v>-9.6888009408777731E-2</v>
      </c>
      <c r="U30" s="11">
        <f t="shared" si="25"/>
        <v>-2.5095628922642721E-2</v>
      </c>
    </row>
    <row r="31" spans="1:30" x14ac:dyDescent="0.25">
      <c r="A31" s="6" t="s">
        <v>28</v>
      </c>
      <c r="D31" s="13" t="e">
        <f t="shared" ref="D31:J31" si="26">+D15/D13</f>
        <v>#DIV/0!</v>
      </c>
      <c r="E31" s="13" t="e">
        <f t="shared" si="26"/>
        <v>#DIV/0!</v>
      </c>
      <c r="F31" s="13" t="e">
        <f t="shared" si="26"/>
        <v>#DIV/0!</v>
      </c>
      <c r="G31" s="13" t="e">
        <f t="shared" si="26"/>
        <v>#DIV/0!</v>
      </c>
      <c r="H31" s="13" t="e">
        <f t="shared" si="26"/>
        <v>#DIV/0!</v>
      </c>
      <c r="I31" s="13" t="e">
        <f t="shared" si="26"/>
        <v>#DIV/0!</v>
      </c>
      <c r="J31" s="13">
        <f t="shared" si="26"/>
        <v>0.2567478358348384</v>
      </c>
      <c r="K31" s="13">
        <f>+K15/K13</f>
        <v>0.24821078114533499</v>
      </c>
      <c r="L31" s="13">
        <f t="shared" ref="L31:U31" si="27">+L15/L13</f>
        <v>0.23077171839123842</v>
      </c>
      <c r="M31" s="13">
        <f t="shared" si="27"/>
        <v>0.26780337941628274</v>
      </c>
      <c r="N31" s="13">
        <f t="shared" si="27"/>
        <v>0.23092087577287265</v>
      </c>
      <c r="O31" s="13">
        <f t="shared" si="27"/>
        <v>0.20418921069382562</v>
      </c>
      <c r="P31" s="13">
        <f t="shared" si="27"/>
        <v>0.2630910821961282</v>
      </c>
      <c r="Q31" s="13">
        <f t="shared" si="27"/>
        <v>0.2451164258922271</v>
      </c>
      <c r="R31" s="13">
        <f t="shared" si="27"/>
        <v>0.27074703546072393</v>
      </c>
      <c r="S31" s="13">
        <f t="shared" si="27"/>
        <v>0.40982725527831099</v>
      </c>
      <c r="T31" s="13">
        <f t="shared" si="27"/>
        <v>0.44474647043016308</v>
      </c>
      <c r="U31" s="13">
        <f t="shared" si="27"/>
        <v>0.42861768487214896</v>
      </c>
    </row>
    <row r="32" spans="1:30" x14ac:dyDescent="0.25">
      <c r="Z32" s="14" t="s">
        <v>29</v>
      </c>
      <c r="AA32" s="15">
        <v>0.2</v>
      </c>
      <c r="AC32" s="14" t="s">
        <v>29</v>
      </c>
      <c r="AD32" s="15">
        <v>0.1</v>
      </c>
    </row>
    <row r="33" spans="2:30" s="6" customForma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Z33" s="16" t="s">
        <v>31</v>
      </c>
      <c r="AA33" s="17">
        <v>-0.01</v>
      </c>
      <c r="AC33" s="16" t="s">
        <v>31</v>
      </c>
      <c r="AD33" s="17">
        <v>0.01</v>
      </c>
    </row>
    <row r="34" spans="2:30" s="6" customForma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Z34" s="16" t="s">
        <v>32</v>
      </c>
      <c r="AA34" s="17">
        <v>0.15</v>
      </c>
      <c r="AC34" s="16" t="s">
        <v>32</v>
      </c>
      <c r="AD34" s="17">
        <v>0.15</v>
      </c>
    </row>
    <row r="35" spans="2:30" s="6" customForma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Z35" s="16" t="s">
        <v>33</v>
      </c>
      <c r="AA35" s="26">
        <f>NPV(AA34,AB15:DH15)</f>
        <v>3509.2663645457556</v>
      </c>
      <c r="AC35" s="16" t="s">
        <v>33</v>
      </c>
      <c r="AD35" s="26">
        <f>NPV(AD34,AD12:DK12)</f>
        <v>2774.0440873876159</v>
      </c>
    </row>
    <row r="36" spans="2:30" s="6" customForma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Q36" s="6" t="s">
        <v>56</v>
      </c>
      <c r="R36" s="6">
        <v>23</v>
      </c>
      <c r="S36" s="6" t="s">
        <v>57</v>
      </c>
      <c r="Z36" s="16" t="s">
        <v>26</v>
      </c>
      <c r="AA36" s="19">
        <f>$R$27</f>
        <v>29.515999999999998</v>
      </c>
      <c r="AC36" s="16" t="s">
        <v>26</v>
      </c>
      <c r="AD36" s="19">
        <f>$R$27</f>
        <v>29.515999999999998</v>
      </c>
    </row>
    <row r="37" spans="2:30" s="6" customForma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Z37" s="16" t="s">
        <v>34</v>
      </c>
      <c r="AA37" s="20">
        <f>AA35/AA36</f>
        <v>118.89369713192018</v>
      </c>
      <c r="AC37" s="16" t="s">
        <v>34</v>
      </c>
      <c r="AD37" s="20">
        <f>AD35/AD36</f>
        <v>93.984418193102599</v>
      </c>
    </row>
    <row r="38" spans="2:30" s="6" customFormat="1" x14ac:dyDescent="0.25"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Z38" s="16" t="s">
        <v>35</v>
      </c>
      <c r="AA38" s="15">
        <f>(AA37-Main!L5)/Main!L5</f>
        <v>0.72309705988290107</v>
      </c>
      <c r="AC38" s="16" t="s">
        <v>35</v>
      </c>
      <c r="AD38" s="15">
        <f>(AD37-Main!L5)/Main!L5</f>
        <v>0.36209301729134202</v>
      </c>
    </row>
    <row r="39" spans="2:30" s="6" customFormat="1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Z39" s="16" t="s">
        <v>36</v>
      </c>
      <c r="AA39" s="18">
        <f>AA36*AA37</f>
        <v>3509.2663645457556</v>
      </c>
      <c r="AC39" s="16" t="s">
        <v>36</v>
      </c>
      <c r="AD39" s="18">
        <f>AD36*AD37</f>
        <v>2774.0440873876159</v>
      </c>
    </row>
    <row r="40" spans="2:30" s="6" customFormat="1" x14ac:dyDescent="0.25"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2:30" s="6" customFormat="1" x14ac:dyDescent="0.25"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3" spans="2:30" s="6" customFormat="1" x14ac:dyDescent="0.25"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2:30" s="6" customFormat="1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2:30" s="6" customFormat="1" x14ac:dyDescent="0.2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2:30" s="6" customFormat="1" x14ac:dyDescent="0.25"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2:30" s="6" customFormat="1" x14ac:dyDescent="0.25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2:30" s="6" customFormat="1" x14ac:dyDescent="0.25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2:13" s="6" customFormat="1" x14ac:dyDescent="0.25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2:13" s="6" customFormat="1" x14ac:dyDescent="0.25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2" spans="2:13" s="6" customFormat="1" x14ac:dyDescent="0.2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2:13" s="6" customFormat="1" x14ac:dyDescent="0.25"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2:13" s="6" customFormat="1" x14ac:dyDescent="0.25"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2:13" s="6" customFormat="1" x14ac:dyDescent="0.25"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2:13" s="6" customFormat="1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  <row r="57" spans="2:13" s="6" customFormat="1" x14ac:dyDescent="0.2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</row>
    <row r="58" spans="2:13" s="6" customFormat="1" x14ac:dyDescent="0.25"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spans="2:13" s="6" customFormat="1" x14ac:dyDescent="0.25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</row>
    <row r="60" spans="2:13" s="6" customFormat="1" x14ac:dyDescent="0.25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</row>
    <row r="61" spans="2:13" s="6" customFormat="1" x14ac:dyDescent="0.25"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</row>
    <row r="62" spans="2:13" s="6" customFormat="1" x14ac:dyDescent="0.25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</row>
    <row r="63" spans="2:13" s="6" customFormat="1" x14ac:dyDescent="0.25"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Hwang</dc:creator>
  <cp:lastModifiedBy>Jefferson Hwang</cp:lastModifiedBy>
  <dcterms:created xsi:type="dcterms:W3CDTF">2023-07-22T07:49:14Z</dcterms:created>
  <dcterms:modified xsi:type="dcterms:W3CDTF">2025-03-03T06:17:30Z</dcterms:modified>
</cp:coreProperties>
</file>