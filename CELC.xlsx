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A04E0C5-444C-4E9C-BA5E-D018D487603B}" xr6:coauthVersionLast="47" xr6:coauthVersionMax="47" xr10:uidLastSave="{00000000-0000-0000-0000-000000000000}"/>
  <bookViews>
    <workbookView xWindow="19360" yWindow="3050" windowWidth="19170" windowHeight="13220" activeTab="1" xr2:uid="{0B25212F-A640-401E-AFFE-298C447892E3}"/>
  </bookViews>
  <sheets>
    <sheet name="Main" sheetId="1" r:id="rId1"/>
    <sheet name="gedatolisi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L7" i="1" l="1"/>
</calcChain>
</file>

<file path=xl/sharedStrings.xml><?xml version="1.0" encoding="utf-8"?>
<sst xmlns="http://schemas.openxmlformats.org/spreadsheetml/2006/main" count="30" uniqueCount="25">
  <si>
    <t>Price</t>
  </si>
  <si>
    <t>Shares</t>
  </si>
  <si>
    <t>MC</t>
  </si>
  <si>
    <t>Cash</t>
  </si>
  <si>
    <t>Debt</t>
  </si>
  <si>
    <t>EV</t>
  </si>
  <si>
    <t>gedatolisib</t>
  </si>
  <si>
    <t>Name</t>
  </si>
  <si>
    <t>Main</t>
  </si>
  <si>
    <t>Brand</t>
  </si>
  <si>
    <t>Generic</t>
  </si>
  <si>
    <t>Mechanism</t>
  </si>
  <si>
    <t>PI3K</t>
  </si>
  <si>
    <t>Clinical Trials</t>
  </si>
  <si>
    <t>Phase III "VIKTORIA-1"</t>
  </si>
  <si>
    <t>gedatolisib+palbociclib+fulvestrant vs. fulvestrant, HR=0.24</t>
  </si>
  <si>
    <t>9.3 months PFS, 2.0 months PFS</t>
  </si>
  <si>
    <t>HR=0.33, 7.4 months PFS vs. 2.0 months PFS</t>
  </si>
  <si>
    <t>11.0mo PFS vs. 5.7mo PFS PI3K mutants</t>
  </si>
  <si>
    <t>SOLAR-1 Piqray n=572 HR+, HER2-, a/mBC progressed after aromatase with or without CDK4/6, 60% PI3K mutations, 6% prior CDK4/6</t>
  </si>
  <si>
    <t>no-mutation HFS HR=0.85</t>
  </si>
  <si>
    <t>Q126</t>
  </si>
  <si>
    <t>PIC</t>
  </si>
  <si>
    <t>AD</t>
  </si>
  <si>
    <t>4/8/2021: paid Pfizer $5m to license gedatolisib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</si>
</sst>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D7E5-E57F-45FF-96CC-715915D2C8E0}">
  <dimension ref="B2:M11"/>
  <sheetViews>
    <sheetView zoomScale="130" zoomScaleNormal="130" workbookViewId="0">
      <selection activeCell="B4" sqref="B4"/>
    </sheetView>
  </sheetViews>
  <sheetFormatPr defaultRowHeight="12.5" x14ac:dyDescent="0.25"/>
  <cols>
    <col min="1" max="1" width="4.08984375" style="1" customWidth="1"/>
    <col min="2" max="2" width="11.36328125" style="1" customWidth="1"/>
    <col min="3" max="16384" width="8.7265625" style="1"/>
  </cols>
  <sheetData>
    <row r="2" spans="2:13" x14ac:dyDescent="0.25">
      <c r="B2" s="14" t="s">
        <v>7</v>
      </c>
      <c r="C2" s="15"/>
      <c r="D2" s="15"/>
      <c r="E2" s="15"/>
      <c r="F2" s="15"/>
      <c r="G2" s="15"/>
      <c r="H2" s="16"/>
      <c r="K2" s="1" t="s">
        <v>0</v>
      </c>
      <c r="L2" s="5">
        <v>143</v>
      </c>
    </row>
    <row r="3" spans="2:13" x14ac:dyDescent="0.25">
      <c r="B3" s="8" t="s">
        <v>6</v>
      </c>
      <c r="C3" s="9"/>
      <c r="D3" s="9"/>
      <c r="E3" s="9"/>
      <c r="F3" s="9"/>
      <c r="G3" s="9"/>
      <c r="H3" s="10"/>
      <c r="K3" s="1" t="s">
        <v>1</v>
      </c>
      <c r="L3" s="6">
        <v>48.336675</v>
      </c>
      <c r="M3" s="7" t="s">
        <v>21</v>
      </c>
    </row>
    <row r="4" spans="2:13" x14ac:dyDescent="0.25">
      <c r="B4" s="8"/>
      <c r="C4" s="9"/>
      <c r="D4" s="9"/>
      <c r="E4" s="9"/>
      <c r="F4" s="9"/>
      <c r="G4" s="9"/>
      <c r="H4" s="10"/>
      <c r="K4" s="1" t="s">
        <v>2</v>
      </c>
      <c r="L4" s="6">
        <f>+L2*L3</f>
        <v>6912.1445249999997</v>
      </c>
    </row>
    <row r="5" spans="2:13" x14ac:dyDescent="0.25">
      <c r="B5" s="8"/>
      <c r="C5" s="9"/>
      <c r="D5" s="9"/>
      <c r="E5" s="9"/>
      <c r="F5" s="9"/>
      <c r="G5" s="9"/>
      <c r="H5" s="10"/>
      <c r="K5" s="1" t="s">
        <v>3</v>
      </c>
      <c r="L5" s="6">
        <f>165.703+275.794</f>
        <v>441.49699999999996</v>
      </c>
      <c r="M5" s="7" t="s">
        <v>21</v>
      </c>
    </row>
    <row r="6" spans="2:13" x14ac:dyDescent="0.25">
      <c r="B6" s="8"/>
      <c r="C6" s="9"/>
      <c r="D6" s="9"/>
      <c r="E6" s="9"/>
      <c r="F6" s="9"/>
      <c r="G6" s="9"/>
      <c r="H6" s="10"/>
      <c r="K6" s="1" t="s">
        <v>4</v>
      </c>
      <c r="L6" s="6">
        <f>195.324+126.527</f>
        <v>321.851</v>
      </c>
      <c r="M6" s="7" t="s">
        <v>21</v>
      </c>
    </row>
    <row r="7" spans="2:13" x14ac:dyDescent="0.25">
      <c r="B7" s="8"/>
      <c r="C7" s="9"/>
      <c r="D7" s="9"/>
      <c r="E7" s="9"/>
      <c r="F7" s="9"/>
      <c r="G7" s="9"/>
      <c r="H7" s="10"/>
      <c r="K7" s="1" t="s">
        <v>5</v>
      </c>
      <c r="L7" s="6">
        <f>+L4-L5+L6</f>
        <v>6792.4985249999991</v>
      </c>
    </row>
    <row r="8" spans="2:13" x14ac:dyDescent="0.25">
      <c r="B8" s="8"/>
      <c r="C8" s="9"/>
      <c r="D8" s="9"/>
      <c r="E8" s="9"/>
      <c r="F8" s="9"/>
      <c r="G8" s="9"/>
      <c r="H8" s="10"/>
    </row>
    <row r="9" spans="2:13" x14ac:dyDescent="0.25">
      <c r="B9" s="11"/>
      <c r="C9" s="12"/>
      <c r="D9" s="12"/>
      <c r="E9" s="12"/>
      <c r="F9" s="12"/>
      <c r="G9" s="12"/>
      <c r="H9" s="13"/>
      <c r="K9" s="1" t="s">
        <v>22</v>
      </c>
      <c r="L9" s="6">
        <v>549.404</v>
      </c>
      <c r="M9" s="7" t="s">
        <v>21</v>
      </c>
    </row>
    <row r="10" spans="2:13" x14ac:dyDescent="0.25">
      <c r="K10" s="1" t="s">
        <v>23</v>
      </c>
      <c r="L10" s="6">
        <v>448.89699999999999</v>
      </c>
      <c r="M10" s="7" t="s">
        <v>21</v>
      </c>
    </row>
    <row r="11" spans="2:13" x14ac:dyDescent="0.25">
      <c r="B11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F26C-6E6D-482A-9072-C531877056C2}">
  <dimension ref="A1:C13"/>
  <sheetViews>
    <sheetView tabSelected="1" zoomScale="145" zoomScaleNormal="145" workbookViewId="0">
      <selection activeCell="C14" sqref="C14"/>
    </sheetView>
  </sheetViews>
  <sheetFormatPr defaultRowHeight="12.5" x14ac:dyDescent="0.25"/>
  <cols>
    <col min="1" max="1" width="4.6328125" style="1" bestFit="1" customWidth="1"/>
    <col min="2" max="2" width="11.26953125" style="1" bestFit="1" customWidth="1"/>
    <col min="3" max="16384" width="8.7265625" style="1"/>
  </cols>
  <sheetData>
    <row r="1" spans="1:3" x14ac:dyDescent="0.25">
      <c r="A1" s="2" t="s">
        <v>8</v>
      </c>
    </row>
    <row r="2" spans="1:3" x14ac:dyDescent="0.25">
      <c r="B2" s="1" t="s">
        <v>9</v>
      </c>
    </row>
    <row r="3" spans="1:3" x14ac:dyDescent="0.25">
      <c r="B3" s="1" t="s">
        <v>10</v>
      </c>
      <c r="C3" s="1" t="s">
        <v>6</v>
      </c>
    </row>
    <row r="4" spans="1:3" x14ac:dyDescent="0.25">
      <c r="B4" s="1" t="s">
        <v>11</v>
      </c>
      <c r="C4" s="1" t="s">
        <v>12</v>
      </c>
    </row>
    <row r="5" spans="1:3" x14ac:dyDescent="0.25">
      <c r="B5" s="1" t="s">
        <v>13</v>
      </c>
    </row>
    <row r="6" spans="1:3" ht="13" x14ac:dyDescent="0.3">
      <c r="C6" s="4" t="s">
        <v>14</v>
      </c>
    </row>
    <row r="7" spans="1:3" x14ac:dyDescent="0.25">
      <c r="C7" s="1" t="s">
        <v>15</v>
      </c>
    </row>
    <row r="8" spans="1:3" x14ac:dyDescent="0.25">
      <c r="C8" s="1" t="s">
        <v>16</v>
      </c>
    </row>
    <row r="9" spans="1:3" ht="13" x14ac:dyDescent="0.3">
      <c r="C9" s="3" t="s">
        <v>17</v>
      </c>
    </row>
    <row r="11" spans="1:3" ht="13" x14ac:dyDescent="0.3">
      <c r="C11" s="4" t="s">
        <v>19</v>
      </c>
    </row>
    <row r="12" spans="1:3" ht="13" x14ac:dyDescent="0.3">
      <c r="C12" s="3" t="s">
        <v>18</v>
      </c>
    </row>
    <row r="13" spans="1:3" x14ac:dyDescent="0.25">
      <c r="C13" s="1" t="s">
        <v>20</v>
      </c>
    </row>
  </sheetData>
  <hyperlinks>
    <hyperlink ref="A1" location="Main!A1" display="Main" xr:uid="{1A6A71F0-CD9A-4ACB-8558-93634E2CC3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gedatolisib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2025-07-28T13:20:20Z</dcterms:created>
  <dcterms:modified xsi:type="dcterms:W3CDTF">2026-05-04T13:20:18Z</dcterms:modified>
</cp:coreProperties>
</file>