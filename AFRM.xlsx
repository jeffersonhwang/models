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13761375-CB17-499E-8B5A-31FBE7167E93}" xr6:coauthVersionLast="47" xr6:coauthVersionMax="47" xr10:uidLastSave="{00000000-0000-0000-0000-000000000000}"/>
  <bookViews>
    <workbookView xWindow="16005" yWindow="90" windowWidth="16200" windowHeight="20805" activeTab="1" xr2:uid="{3FD86B5C-07F1-42A4-9D66-8FB9C4BAF17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2" l="1"/>
  <c r="F17" i="2"/>
  <c r="F16" i="2"/>
  <c r="F11" i="2"/>
  <c r="F22" i="2" l="1"/>
  <c r="F19" i="2" l="1"/>
  <c r="F12" i="2"/>
  <c r="F10" i="2"/>
  <c r="AC29" i="2"/>
  <c r="AA29" i="2"/>
  <c r="AM6" i="2" l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B6" i="2" s="1"/>
  <c r="DC6" i="2" s="1"/>
  <c r="DD6" i="2" s="1"/>
  <c r="DE6" i="2" s="1"/>
  <c r="DF6" i="2" s="1"/>
  <c r="DG6" i="2" s="1"/>
  <c r="AC28" i="2" l="1"/>
  <c r="AC30" i="2" s="1"/>
  <c r="AC31" i="2" s="1"/>
  <c r="AB2" i="2"/>
  <c r="AC2" i="2" s="1"/>
  <c r="AD2" i="2" s="1"/>
  <c r="AE2" i="2" s="1"/>
  <c r="AC32" i="2" l="1"/>
  <c r="AM5" i="2" l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BI5" i="2" s="1"/>
  <c r="BJ5" i="2" s="1"/>
  <c r="BK5" i="2" s="1"/>
  <c r="BL5" i="2" s="1"/>
  <c r="BM5" i="2" s="1"/>
  <c r="BN5" i="2" s="1"/>
  <c r="BO5" i="2" s="1"/>
  <c r="BP5" i="2" s="1"/>
  <c r="BQ5" i="2" s="1"/>
  <c r="BR5" i="2" s="1"/>
  <c r="BS5" i="2" s="1"/>
  <c r="BT5" i="2" s="1"/>
  <c r="BU5" i="2" s="1"/>
  <c r="BV5" i="2" s="1"/>
  <c r="BW5" i="2" s="1"/>
  <c r="BX5" i="2" s="1"/>
  <c r="BY5" i="2" s="1"/>
  <c r="BZ5" i="2" s="1"/>
  <c r="CA5" i="2" s="1"/>
  <c r="CB5" i="2" s="1"/>
  <c r="CC5" i="2" s="1"/>
  <c r="CD5" i="2" s="1"/>
  <c r="CE5" i="2" s="1"/>
  <c r="CF5" i="2" s="1"/>
  <c r="CG5" i="2" s="1"/>
  <c r="CH5" i="2" s="1"/>
  <c r="CI5" i="2" s="1"/>
  <c r="CJ5" i="2" s="1"/>
  <c r="CK5" i="2" s="1"/>
  <c r="CL5" i="2" s="1"/>
  <c r="CM5" i="2" s="1"/>
  <c r="CN5" i="2" s="1"/>
  <c r="CO5" i="2" s="1"/>
  <c r="CP5" i="2" s="1"/>
  <c r="CQ5" i="2" s="1"/>
  <c r="CR5" i="2" s="1"/>
  <c r="CS5" i="2" s="1"/>
  <c r="CT5" i="2" s="1"/>
  <c r="CU5" i="2" s="1"/>
  <c r="CV5" i="2" s="1"/>
  <c r="CW5" i="2" s="1"/>
  <c r="CX5" i="2" s="1"/>
  <c r="CY5" i="2" s="1"/>
  <c r="CZ5" i="2" s="1"/>
  <c r="DA5" i="2" s="1"/>
  <c r="DB5" i="2" s="1"/>
  <c r="DC5" i="2" s="1"/>
  <c r="DD5" i="2" s="1"/>
  <c r="DE5" i="2" s="1"/>
  <c r="DF5" i="2" s="1"/>
  <c r="DG5" i="2" s="1"/>
  <c r="AA28" i="2" l="1"/>
  <c r="AA30" i="2" s="1"/>
  <c r="AA31" i="2" s="1"/>
  <c r="AA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tc={29163D78-77F4-4D3F-85A4-69EDDA589985}</author>
    <author>tc={4BAEB533-CFD6-4860-8680-6780E06F8945}</author>
  </authors>
  <commentList>
    <comment ref="B11" authorId="0" shapeId="0" xr:uid="{29163D78-77F4-4D3F-85A4-69EDDA589985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Transaction costs = 
* Loss on loan purchase commitment
* provision for credit losses
* funding costs
* processing and servicing</t>
      </text>
    </comment>
    <comment ref="B13" authorId="1" shapeId="0" xr:uid="{4BAEB533-CFD6-4860-8680-6780E06F8945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Technology and data analytics</t>
      </text>
    </comment>
  </commentList>
</comments>
</file>

<file path=xl/sharedStrings.xml><?xml version="1.0" encoding="utf-8"?>
<sst xmlns="http://schemas.openxmlformats.org/spreadsheetml/2006/main" count="70" uniqueCount="62">
  <si>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</si>
  <si>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</si>
  <si>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</si>
  <si>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</si>
  <si>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</si>
  <si>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</si>
  <si>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</si>
  <si>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</si>
  <si>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</si>
  <si>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</si>
  <si>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</si>
  <si>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</si>
  <si>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</si>
  <si>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</si>
  <si>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</si>
  <si>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</si>
  <si>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</si>
  <si>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</si>
  <si>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</si>
  <si>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</si>
  <si>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</si>
  <si>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</si>
  <si>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</si>
  <si>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</si>
  <si>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</si>
  <si>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OpEx</t>
  </si>
  <si>
    <t>OpInc</t>
  </si>
  <si>
    <t>Interest</t>
  </si>
  <si>
    <t>Pretax</t>
  </si>
  <si>
    <t>Net Income</t>
  </si>
  <si>
    <t>EPS</t>
  </si>
  <si>
    <t>Taxes</t>
  </si>
  <si>
    <t>Revenue y/y</t>
  </si>
  <si>
    <t>Gross Margin</t>
  </si>
  <si>
    <t>Q123</t>
  </si>
  <si>
    <t>Q223</t>
  </si>
  <si>
    <t>Discount Rate</t>
  </si>
  <si>
    <t>Terminal Rate</t>
  </si>
  <si>
    <t>Growth Rate</t>
  </si>
  <si>
    <t>NPV</t>
  </si>
  <si>
    <t>Share Price</t>
  </si>
  <si>
    <t>Delta</t>
  </si>
  <si>
    <t>Market Cap</t>
  </si>
  <si>
    <t>FY</t>
  </si>
  <si>
    <t>Q323</t>
  </si>
  <si>
    <t>YOY%</t>
  </si>
  <si>
    <t>Q423</t>
  </si>
  <si>
    <t>Top</t>
  </si>
  <si>
    <t>Bottom</t>
  </si>
  <si>
    <t>Seq Rev %</t>
  </si>
  <si>
    <t>Target</t>
  </si>
  <si>
    <t>Current</t>
  </si>
  <si>
    <t>Q124</t>
  </si>
  <si>
    <t>Q224</t>
  </si>
  <si>
    <t>Q324</t>
  </si>
  <si>
    <t>Q424</t>
  </si>
  <si>
    <t>Q125</t>
  </si>
  <si>
    <t>Merchant Network</t>
  </si>
  <si>
    <t>Virtual Card</t>
  </si>
  <si>
    <t>Servicing</t>
  </si>
  <si>
    <t>Interest Income</t>
  </si>
  <si>
    <t>Sales of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</si>
</sst>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1" xfId="0" applyBorder="1"/>
    <xf numFmtId="9" fontId="0" fillId="0" borderId="1" xfId="4" applyFont="1" applyBorder="1"/>
    <xf numFmtId="3" fontId="0" fillId="0" borderId="1" xfId="0" applyNumberFormat="1" applyBorder="1"/>
    <xf numFmtId="44" fontId="0" fillId="0" borderId="1" xfId="3" applyFont="1" applyBorder="1"/>
    <xf numFmtId="44" fontId="1" fillId="0" borderId="1" xfId="3" applyFont="1" applyBorder="1"/>
    <xf numFmtId="9" fontId="1" fillId="0" borderId="1" xfId="4" applyFont="1" applyBorder="1"/>
    <xf numFmtId="164" fontId="0" fillId="0" borderId="1" xfId="2" applyNumberFormat="1" applyFont="1" applyBorder="1"/>
    <xf numFmtId="9" fontId="0" fillId="0" borderId="0" xfId="4" applyFont="1"/>
    <xf numFmtId="165" fontId="1" fillId="0" borderId="1" xfId="4" applyNumberFormat="1" applyFont="1" applyBorder="1"/>
    <xf numFmtId="165" fontId="0" fillId="0" borderId="0" xfId="4" applyNumberFormat="1" applyFont="1"/>
    <xf numFmtId="10" fontId="0" fillId="0" borderId="0" xfId="4" applyNumberFormat="1" applyFont="1"/>
    <xf numFmtId="8" fontId="0" fillId="0" borderId="1" xfId="3" applyNumberFormat="1" applyFont="1" applyBorder="1"/>
    <xf numFmtId="9" fontId="1" fillId="0" borderId="0" xfId="4" applyFont="1" applyAlignment="1">
      <alignment horizontal="right"/>
    </xf>
    <xf numFmtId="0" fontId="0" fillId="0" borderId="0" xfId="0" applyFont="1"/>
    <xf numFmtId="3" fontId="0" fillId="0" borderId="0" xfId="0" applyNumberFormat="1" applyFont="1"/>
    <xf numFmtId="3" fontId="0" fillId="0" borderId="0" xfId="0" applyNumberFormat="1" applyFont="1" applyAlignment="1">
      <alignment horizontal="right"/>
    </xf>
  </cellXfs>
  <cellStyles count="5">
    <cellStyle name="Comma" xfId="2" builtinId="3"/>
    <cellStyle name="Currency" xfId="3" builtinId="4"/>
    <cellStyle name="Hyperlink" xfId="1" builtinId="8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0</xdr:row>
      <xdr:rowOff>57150</xdr:rowOff>
    </xdr:from>
    <xdr:to>
      <xdr:col>12</xdr:col>
      <xdr:colOff>47625</xdr:colOff>
      <xdr:row>38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DFA4D5-0B38-8039-23CD-D7314E60DE78}"/>
            </a:ext>
          </a:extLst>
        </xdr:cNvPr>
        <xdr:cNvCxnSpPr/>
      </xdr:nvCxnSpPr>
      <xdr:spPr>
        <a:xfrm>
          <a:off x="7200900" y="57150"/>
          <a:ext cx="0" cy="857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erson Hwang" id="{3B4339BA-31CF-44E5-A8EB-E1A35147B4DB}" userId="S::jefferh2@ad.uci.edu::209c1842-3e77-4b1a-ae04-0aa76273ce5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2-10T03:17:42.86" personId="{3B4339BA-31CF-44E5-A8EB-E1A35147B4DB}" id="{29163D78-77F4-4D3F-85A4-69EDDA589985}">
    <text>Total Transaction costs = 
* Loss on loan purchase commitment
* provision for credit losses
* funding costs
* processing and servicing</text>
  </threadedComment>
  <threadedComment ref="B13" dT="2025-02-10T03:18:11.54" personId="{3B4339BA-31CF-44E5-A8EB-E1A35147B4DB}" id="{4BAEB533-CFD6-4860-8680-6780E06F8945}">
    <text>Technology and data analytics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D0B1-E685-4627-8A01-75A3D2BDF860}">
  <dimension ref="N2:P7"/>
  <sheetViews>
    <sheetView topLeftCell="D1" workbookViewId="0">
      <selection activeCell="I31" sqref="I31"/>
    </sheetView>
  </sheetViews>
  <sheetFormatPr defaultRowHeight="12.75" x14ac:dyDescent="0.2"/>
  <sheetData>
    <row r="2" spans="14:16" x14ac:dyDescent="0.2">
      <c r="N2" t="s">
        <v>0</v>
      </c>
      <c r="O2" s="1">
        <v>75.22</v>
      </c>
    </row>
    <row r="3" spans="14:16" x14ac:dyDescent="0.2">
      <c r="N3" t="s">
        <v>1</v>
      </c>
      <c r="O3" s="5"/>
      <c r="P3" s="2"/>
    </row>
    <row r="4" spans="14:16" x14ac:dyDescent="0.2">
      <c r="N4" t="s">
        <v>2</v>
      </c>
      <c r="O4" s="5"/>
    </row>
    <row r="5" spans="14:16" x14ac:dyDescent="0.2">
      <c r="N5" t="s">
        <v>3</v>
      </c>
      <c r="O5" s="5"/>
      <c r="P5" s="2"/>
    </row>
    <row r="6" spans="14:16" x14ac:dyDescent="0.2">
      <c r="N6" t="s">
        <v>4</v>
      </c>
      <c r="O6" s="5"/>
      <c r="P6" s="2"/>
    </row>
    <row r="7" spans="14:16" x14ac:dyDescent="0.2">
      <c r="N7" t="s">
        <v>5</v>
      </c>
      <c r="O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D0F6-F818-4D6B-9D91-E5CB5E0CBE0F}">
  <dimension ref="A1:DG34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2.75" x14ac:dyDescent="0.2"/>
  <cols>
    <col min="1" max="1" width="5" bestFit="1" customWidth="1"/>
    <col min="2" max="2" width="13.28515625" customWidth="1"/>
    <col min="3" max="13" width="9.140625" style="2"/>
    <col min="14" max="14" width="10.140625" style="2" bestFit="1" customWidth="1"/>
    <col min="18" max="18" width="10.140625" bestFit="1" customWidth="1"/>
    <col min="25" max="25" width="12.7109375" bestFit="1" customWidth="1"/>
    <col min="26" max="27" width="11.28515625" bestFit="1" customWidth="1"/>
    <col min="28" max="28" width="14.28515625" customWidth="1"/>
    <col min="29" max="29" width="11.28515625" bestFit="1" customWidth="1"/>
  </cols>
  <sheetData>
    <row r="1" spans="1:111" x14ac:dyDescent="0.2">
      <c r="A1" s="8" t="s">
        <v>6</v>
      </c>
      <c r="L1" s="13">
        <v>44742</v>
      </c>
      <c r="M1" s="13">
        <v>44834</v>
      </c>
      <c r="N1" s="13">
        <v>44926</v>
      </c>
      <c r="O1" s="14">
        <v>45016</v>
      </c>
      <c r="P1" s="13">
        <v>45107</v>
      </c>
      <c r="Q1" s="13">
        <v>45199</v>
      </c>
      <c r="R1" s="13">
        <v>45291</v>
      </c>
      <c r="S1" s="14">
        <v>45382</v>
      </c>
      <c r="T1" s="14">
        <v>45473</v>
      </c>
      <c r="Z1" t="s">
        <v>43</v>
      </c>
    </row>
    <row r="2" spans="1:111" x14ac:dyDescent="0.2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34</v>
      </c>
      <c r="P2" s="2" t="s">
        <v>35</v>
      </c>
      <c r="Q2" s="2" t="s">
        <v>44</v>
      </c>
      <c r="R2" s="2" t="s">
        <v>46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/>
      <c r="Z2" s="2"/>
      <c r="AA2">
        <v>2020</v>
      </c>
      <c r="AB2">
        <f>+AA2+1</f>
        <v>2021</v>
      </c>
      <c r="AC2">
        <f t="shared" ref="AC2:AE2" si="0">+AB2+1</f>
        <v>2022</v>
      </c>
      <c r="AD2">
        <f t="shared" si="0"/>
        <v>2023</v>
      </c>
      <c r="AE2">
        <f t="shared" si="0"/>
        <v>2024</v>
      </c>
      <c r="AF2">
        <v>2025</v>
      </c>
      <c r="AG2">
        <v>2026</v>
      </c>
      <c r="AH2">
        <v>2027</v>
      </c>
      <c r="AI2">
        <v>2028</v>
      </c>
      <c r="AJ2">
        <v>2029</v>
      </c>
      <c r="AK2">
        <v>2030</v>
      </c>
    </row>
    <row r="3" spans="1:111" x14ac:dyDescent="0.2">
      <c r="AD3" s="25"/>
    </row>
    <row r="4" spans="1:111" x14ac:dyDescent="0.2">
      <c r="B4" s="28" t="s">
        <v>57</v>
      </c>
      <c r="F4" s="2">
        <v>99.63</v>
      </c>
      <c r="Z4" t="s">
        <v>45</v>
      </c>
      <c r="AA4" s="22"/>
      <c r="AB4" s="22"/>
      <c r="AC4" s="22"/>
      <c r="AD4" s="24"/>
      <c r="AE4" s="24"/>
      <c r="AF4" s="24"/>
      <c r="AG4" s="24"/>
      <c r="AH4" s="24"/>
      <c r="AI4" s="24"/>
      <c r="AJ4" s="24"/>
      <c r="AK4" s="24"/>
      <c r="AL4" s="24"/>
    </row>
    <row r="5" spans="1:111" s="3" customFormat="1" x14ac:dyDescent="0.2">
      <c r="B5" s="29" t="s">
        <v>58</v>
      </c>
      <c r="C5" s="4"/>
      <c r="D5" s="4"/>
      <c r="E5" s="4"/>
      <c r="F5" s="30">
        <v>10.82</v>
      </c>
      <c r="G5" s="4"/>
      <c r="H5" s="4"/>
      <c r="I5" s="4"/>
      <c r="J5" s="4"/>
      <c r="K5" s="4"/>
      <c r="L5" s="4"/>
      <c r="M5" s="4"/>
      <c r="N5" s="4"/>
      <c r="Z5" s="3" t="s">
        <v>50</v>
      </c>
      <c r="AM5" s="3">
        <f>AL5*(1+$AA$26)</f>
        <v>0</v>
      </c>
      <c r="AN5" s="3">
        <f>AM5*(1+$AA$26)</f>
        <v>0</v>
      </c>
      <c r="AO5" s="3">
        <f>AN5*(1+$AA$26)</f>
        <v>0</v>
      </c>
      <c r="AP5" s="3">
        <f>AO5*(1+$AA$26)</f>
        <v>0</v>
      </c>
      <c r="AQ5" s="3">
        <f>AP5*(1+$AA$26)</f>
        <v>0</v>
      </c>
      <c r="AR5" s="3">
        <f>AQ5*(1+$AA$26)</f>
        <v>0</v>
      </c>
      <c r="AS5" s="3">
        <f>AR5*(1+$AA$26)</f>
        <v>0</v>
      </c>
      <c r="AT5" s="3">
        <f>AS5*(1+$AA$26)</f>
        <v>0</v>
      </c>
      <c r="AU5" s="3">
        <f>AT5*(1+$AA$26)</f>
        <v>0</v>
      </c>
      <c r="AV5" s="3">
        <f>AU5*(1+$AA$26)</f>
        <v>0</v>
      </c>
      <c r="AW5" s="3">
        <f>AV5*(1+$AA$26)</f>
        <v>0</v>
      </c>
      <c r="AX5" s="3">
        <f>AW5*(1+$AA$26)</f>
        <v>0</v>
      </c>
      <c r="AY5" s="3">
        <f>AX5*(1+$AA$26)</f>
        <v>0</v>
      </c>
      <c r="AZ5" s="3">
        <f>AY5*(1+$AA$26)</f>
        <v>0</v>
      </c>
      <c r="BA5" s="3">
        <f>AZ5*(1+$AA$26)</f>
        <v>0</v>
      </c>
      <c r="BB5" s="3">
        <f>BA5*(1+$AA$26)</f>
        <v>0</v>
      </c>
      <c r="BC5" s="3">
        <f>BB5*(1+$AA$26)</f>
        <v>0</v>
      </c>
      <c r="BD5" s="3">
        <f>BC5*(1+$AA$26)</f>
        <v>0</v>
      </c>
      <c r="BE5" s="3">
        <f>BD5*(1+$AA$26)</f>
        <v>0</v>
      </c>
      <c r="BF5" s="3">
        <f>BE5*(1+$AA$26)</f>
        <v>0</v>
      </c>
      <c r="BG5" s="3">
        <f>BF5*(1+$AA$26)</f>
        <v>0</v>
      </c>
      <c r="BH5" s="3">
        <f>BG5*(1+$AA$26)</f>
        <v>0</v>
      </c>
      <c r="BI5" s="3">
        <f>BH5*(1+$AA$26)</f>
        <v>0</v>
      </c>
      <c r="BJ5" s="3">
        <f>BI5*(1+$AA$26)</f>
        <v>0</v>
      </c>
      <c r="BK5" s="3">
        <f>BJ5*(1+$AA$26)</f>
        <v>0</v>
      </c>
      <c r="BL5" s="3">
        <f>BK5*(1+$AA$26)</f>
        <v>0</v>
      </c>
      <c r="BM5" s="3">
        <f>BL5*(1+$AA$26)</f>
        <v>0</v>
      </c>
      <c r="BN5" s="3">
        <f>BM5*(1+$AA$26)</f>
        <v>0</v>
      </c>
      <c r="BO5" s="3">
        <f>BN5*(1+$AA$26)</f>
        <v>0</v>
      </c>
      <c r="BP5" s="3">
        <f>BO5*(1+$AA$26)</f>
        <v>0</v>
      </c>
      <c r="BQ5" s="3">
        <f>BP5*(1+$AA$26)</f>
        <v>0</v>
      </c>
      <c r="BR5" s="3">
        <f t="shared" ref="BR5:CW5" si="1">BQ5*(1+$AA$26)</f>
        <v>0</v>
      </c>
      <c r="BS5" s="3">
        <f t="shared" si="1"/>
        <v>0</v>
      </c>
      <c r="BT5" s="3">
        <f t="shared" si="1"/>
        <v>0</v>
      </c>
      <c r="BU5" s="3">
        <f t="shared" si="1"/>
        <v>0</v>
      </c>
      <c r="BV5" s="3">
        <f t="shared" si="1"/>
        <v>0</v>
      </c>
      <c r="BW5" s="3">
        <f t="shared" si="1"/>
        <v>0</v>
      </c>
      <c r="BX5" s="3">
        <f t="shared" si="1"/>
        <v>0</v>
      </c>
      <c r="BY5" s="3">
        <f t="shared" si="1"/>
        <v>0</v>
      </c>
      <c r="BZ5" s="3">
        <f t="shared" si="1"/>
        <v>0</v>
      </c>
      <c r="CA5" s="3">
        <f t="shared" si="1"/>
        <v>0</v>
      </c>
      <c r="CB5" s="3">
        <f t="shared" si="1"/>
        <v>0</v>
      </c>
      <c r="CC5" s="3">
        <f t="shared" si="1"/>
        <v>0</v>
      </c>
      <c r="CD5" s="3">
        <f t="shared" si="1"/>
        <v>0</v>
      </c>
      <c r="CE5" s="3">
        <f t="shared" si="1"/>
        <v>0</v>
      </c>
      <c r="CF5" s="3">
        <f t="shared" si="1"/>
        <v>0</v>
      </c>
      <c r="CG5" s="3">
        <f t="shared" si="1"/>
        <v>0</v>
      </c>
      <c r="CH5" s="3">
        <f t="shared" si="1"/>
        <v>0</v>
      </c>
      <c r="CI5" s="3">
        <f t="shared" si="1"/>
        <v>0</v>
      </c>
      <c r="CJ5" s="3">
        <f t="shared" si="1"/>
        <v>0</v>
      </c>
      <c r="CK5" s="3">
        <f t="shared" si="1"/>
        <v>0</v>
      </c>
      <c r="CL5" s="3">
        <f t="shared" si="1"/>
        <v>0</v>
      </c>
      <c r="CM5" s="3">
        <f t="shared" si="1"/>
        <v>0</v>
      </c>
      <c r="CN5" s="3">
        <f t="shared" si="1"/>
        <v>0</v>
      </c>
      <c r="CO5" s="3">
        <f t="shared" si="1"/>
        <v>0</v>
      </c>
      <c r="CP5" s="3">
        <f t="shared" si="1"/>
        <v>0</v>
      </c>
      <c r="CQ5" s="3">
        <f t="shared" si="1"/>
        <v>0</v>
      </c>
      <c r="CR5" s="3">
        <f t="shared" si="1"/>
        <v>0</v>
      </c>
      <c r="CS5" s="3">
        <f t="shared" si="1"/>
        <v>0</v>
      </c>
      <c r="CT5" s="3">
        <f t="shared" si="1"/>
        <v>0</v>
      </c>
      <c r="CU5" s="3">
        <f t="shared" si="1"/>
        <v>0</v>
      </c>
      <c r="CV5" s="3">
        <f t="shared" si="1"/>
        <v>0</v>
      </c>
      <c r="CW5" s="3">
        <f t="shared" si="1"/>
        <v>0</v>
      </c>
      <c r="CX5" s="3">
        <f t="shared" ref="CX5:DG5" si="2">CW5*(1+$AA$26)</f>
        <v>0</v>
      </c>
      <c r="CY5" s="3">
        <f t="shared" si="2"/>
        <v>0</v>
      </c>
      <c r="CZ5" s="3">
        <f t="shared" si="2"/>
        <v>0</v>
      </c>
      <c r="DA5" s="3">
        <f t="shared" si="2"/>
        <v>0</v>
      </c>
      <c r="DB5" s="3">
        <f t="shared" si="2"/>
        <v>0</v>
      </c>
      <c r="DC5" s="3">
        <f t="shared" si="2"/>
        <v>0</v>
      </c>
      <c r="DD5" s="3">
        <f t="shared" si="2"/>
        <v>0</v>
      </c>
      <c r="DE5" s="3">
        <f t="shared" si="2"/>
        <v>0</v>
      </c>
      <c r="DF5" s="3">
        <f t="shared" si="2"/>
        <v>0</v>
      </c>
      <c r="DG5" s="3">
        <f t="shared" si="2"/>
        <v>0</v>
      </c>
    </row>
    <row r="6" spans="1:111" s="5" customFormat="1" x14ac:dyDescent="0.2">
      <c r="B6" s="5" t="s">
        <v>60</v>
      </c>
      <c r="C6" s="6"/>
      <c r="D6" s="6"/>
      <c r="E6" s="6"/>
      <c r="F6" s="6">
        <v>73.856999999999999</v>
      </c>
      <c r="G6" s="6"/>
      <c r="H6" s="6"/>
      <c r="I6" s="6"/>
      <c r="J6" s="6"/>
      <c r="K6" s="6"/>
      <c r="L6" s="6"/>
      <c r="M6" s="6"/>
      <c r="N6" s="6"/>
      <c r="Z6" s="5" t="s">
        <v>51</v>
      </c>
      <c r="AA6" s="3"/>
      <c r="AB6" s="3"/>
      <c r="AC6" s="3"/>
      <c r="AE6" s="3"/>
      <c r="AF6" s="3"/>
      <c r="AG6" s="3"/>
      <c r="AH6" s="3"/>
      <c r="AI6" s="3"/>
      <c r="AJ6" s="3"/>
      <c r="AK6" s="3"/>
      <c r="AL6" s="3"/>
      <c r="AM6" s="3">
        <f>AL6*(1+$AA$26)</f>
        <v>0</v>
      </c>
      <c r="AN6" s="3">
        <f>AM6*(1+$AA$26)</f>
        <v>0</v>
      </c>
      <c r="AO6" s="3">
        <f>AN6*(1+$AA$26)</f>
        <v>0</v>
      </c>
      <c r="AP6" s="3">
        <f>AO6*(1+$AA$26)</f>
        <v>0</v>
      </c>
      <c r="AQ6" s="3">
        <f>AP6*(1+$AA$26)</f>
        <v>0</v>
      </c>
      <c r="AR6" s="3">
        <f>AQ6*(1+$AA$26)</f>
        <v>0</v>
      </c>
      <c r="AS6" s="3">
        <f>AR6*(1+$AA$26)</f>
        <v>0</v>
      </c>
      <c r="AT6" s="3">
        <f>AS6*(1+$AA$26)</f>
        <v>0</v>
      </c>
      <c r="AU6" s="3">
        <f>AT6*(1+$AA$26)</f>
        <v>0</v>
      </c>
      <c r="AV6" s="3">
        <f>AU6*(1+$AA$26)</f>
        <v>0</v>
      </c>
      <c r="AW6" s="3">
        <f>AV6*(1+$AA$26)</f>
        <v>0</v>
      </c>
      <c r="AX6" s="3">
        <f>AW6*(1+$AA$26)</f>
        <v>0</v>
      </c>
      <c r="AY6" s="3">
        <f>AX6*(1+$AA$26)</f>
        <v>0</v>
      </c>
      <c r="AZ6" s="3">
        <f>AY6*(1+$AA$26)</f>
        <v>0</v>
      </c>
      <c r="BA6" s="3">
        <f>AZ6*(1+$AA$26)</f>
        <v>0</v>
      </c>
      <c r="BB6" s="3">
        <f>BA6*(1+$AA$26)</f>
        <v>0</v>
      </c>
      <c r="BC6" s="3">
        <f>BB6*(1+$AA$26)</f>
        <v>0</v>
      </c>
      <c r="BD6" s="3">
        <f>BC6*(1+$AA$26)</f>
        <v>0</v>
      </c>
      <c r="BE6" s="3">
        <f>BD6*(1+$AA$26)</f>
        <v>0</v>
      </c>
      <c r="BF6" s="3">
        <f>BE6*(1+$AA$26)</f>
        <v>0</v>
      </c>
      <c r="BG6" s="3">
        <f>BF6*(1+$AA$26)</f>
        <v>0</v>
      </c>
      <c r="BH6" s="3">
        <f>BG6*(1+$AA$26)</f>
        <v>0</v>
      </c>
      <c r="BI6" s="3">
        <f>BH6*(1+$AA$26)</f>
        <v>0</v>
      </c>
      <c r="BJ6" s="3">
        <f>BI6*(1+$AA$26)</f>
        <v>0</v>
      </c>
      <c r="BK6" s="3">
        <f>BJ6*(1+$AA$26)</f>
        <v>0</v>
      </c>
      <c r="BL6" s="3">
        <f>BK6*(1+$AA$26)</f>
        <v>0</v>
      </c>
      <c r="BM6" s="3">
        <f>BL6*(1+$AA$26)</f>
        <v>0</v>
      </c>
      <c r="BN6" s="3">
        <f>BM6*(1+$AA$26)</f>
        <v>0</v>
      </c>
      <c r="BO6" s="3">
        <f>BN6*(1+$AA$26)</f>
        <v>0</v>
      </c>
      <c r="BP6" s="3">
        <f>BO6*(1+$AA$26)</f>
        <v>0</v>
      </c>
      <c r="BQ6" s="3">
        <f>BP6*(1+$AA$26)</f>
        <v>0</v>
      </c>
      <c r="BR6" s="3">
        <f t="shared" ref="BR6:CW6" si="3">BQ6*(1+$AA$26)</f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  <c r="BZ6" s="3">
        <f t="shared" si="3"/>
        <v>0</v>
      </c>
      <c r="CA6" s="3">
        <f t="shared" si="3"/>
        <v>0</v>
      </c>
      <c r="CB6" s="3">
        <f t="shared" si="3"/>
        <v>0</v>
      </c>
      <c r="CC6" s="3">
        <f t="shared" si="3"/>
        <v>0</v>
      </c>
      <c r="CD6" s="3">
        <f t="shared" si="3"/>
        <v>0</v>
      </c>
      <c r="CE6" s="3">
        <f t="shared" si="3"/>
        <v>0</v>
      </c>
      <c r="CF6" s="3">
        <f t="shared" si="3"/>
        <v>0</v>
      </c>
      <c r="CG6" s="3">
        <f t="shared" si="3"/>
        <v>0</v>
      </c>
      <c r="CH6" s="3">
        <f t="shared" si="3"/>
        <v>0</v>
      </c>
      <c r="CI6" s="3">
        <f t="shared" si="3"/>
        <v>0</v>
      </c>
      <c r="CJ6" s="3">
        <f t="shared" si="3"/>
        <v>0</v>
      </c>
      <c r="CK6" s="3">
        <f t="shared" si="3"/>
        <v>0</v>
      </c>
      <c r="CL6" s="3">
        <f t="shared" si="3"/>
        <v>0</v>
      </c>
      <c r="CM6" s="3">
        <f t="shared" si="3"/>
        <v>0</v>
      </c>
      <c r="CN6" s="3">
        <f t="shared" si="3"/>
        <v>0</v>
      </c>
      <c r="CO6" s="3">
        <f t="shared" si="3"/>
        <v>0</v>
      </c>
      <c r="CP6" s="3">
        <f t="shared" si="3"/>
        <v>0</v>
      </c>
      <c r="CQ6" s="3">
        <f t="shared" si="3"/>
        <v>0</v>
      </c>
      <c r="CR6" s="3">
        <f t="shared" si="3"/>
        <v>0</v>
      </c>
      <c r="CS6" s="3">
        <f t="shared" si="3"/>
        <v>0</v>
      </c>
      <c r="CT6" s="3">
        <f t="shared" si="3"/>
        <v>0</v>
      </c>
      <c r="CU6" s="3">
        <f t="shared" si="3"/>
        <v>0</v>
      </c>
      <c r="CV6" s="3">
        <f t="shared" si="3"/>
        <v>0</v>
      </c>
      <c r="CW6" s="3">
        <f t="shared" si="3"/>
        <v>0</v>
      </c>
      <c r="CX6" s="3">
        <f t="shared" ref="CX6:DG6" si="4">CW6*(1+$AA$26)</f>
        <v>0</v>
      </c>
      <c r="CY6" s="3">
        <f t="shared" si="4"/>
        <v>0</v>
      </c>
      <c r="CZ6" s="3">
        <f t="shared" si="4"/>
        <v>0</v>
      </c>
      <c r="DA6" s="3">
        <f t="shared" si="4"/>
        <v>0</v>
      </c>
      <c r="DB6" s="3">
        <f t="shared" si="4"/>
        <v>0</v>
      </c>
      <c r="DC6" s="3">
        <f t="shared" si="4"/>
        <v>0</v>
      </c>
      <c r="DD6" s="3">
        <f t="shared" si="4"/>
        <v>0</v>
      </c>
      <c r="DE6" s="3">
        <f t="shared" si="4"/>
        <v>0</v>
      </c>
      <c r="DF6" s="3">
        <f t="shared" si="4"/>
        <v>0</v>
      </c>
      <c r="DG6" s="3">
        <f t="shared" si="4"/>
        <v>0</v>
      </c>
    </row>
    <row r="7" spans="1:111" s="5" customFormat="1" x14ac:dyDescent="0.2">
      <c r="B7" s="29" t="s">
        <v>61</v>
      </c>
      <c r="C7" s="6"/>
      <c r="D7" s="6"/>
      <c r="E7" s="6"/>
      <c r="F7" s="6">
        <v>14.56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AD7" s="24"/>
      <c r="AE7" s="22"/>
      <c r="AF7" s="22"/>
      <c r="AG7" s="22"/>
      <c r="AH7" s="22"/>
      <c r="AI7" s="22"/>
      <c r="AJ7" s="22"/>
      <c r="AK7" s="22"/>
      <c r="AL7" s="22"/>
    </row>
    <row r="8" spans="1:111" s="5" customFormat="1" x14ac:dyDescent="0.2">
      <c r="B8" s="5" t="s">
        <v>59</v>
      </c>
      <c r="C8" s="6"/>
      <c r="D8" s="6"/>
      <c r="E8" s="6"/>
      <c r="F8" s="6">
        <v>5.1740000000000004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AD8" s="24"/>
      <c r="AE8" s="22"/>
      <c r="AF8" s="22"/>
      <c r="AG8" s="22"/>
      <c r="AH8" s="22"/>
      <c r="AI8" s="22"/>
      <c r="AJ8" s="22"/>
      <c r="AK8" s="22"/>
      <c r="AL8" s="22"/>
    </row>
    <row r="9" spans="1:111" s="5" customFormat="1" x14ac:dyDescent="0.2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AD9" s="24"/>
      <c r="AE9" s="22"/>
      <c r="AF9" s="22"/>
      <c r="AG9" s="22"/>
      <c r="AH9" s="22"/>
      <c r="AI9" s="22"/>
      <c r="AJ9" s="22"/>
      <c r="AK9" s="22"/>
      <c r="AL9" s="22"/>
    </row>
    <row r="10" spans="1:111" s="5" customFormat="1" x14ac:dyDescent="0.2">
      <c r="B10" s="3" t="s">
        <v>7</v>
      </c>
      <c r="C10" s="6"/>
      <c r="D10" s="6"/>
      <c r="E10" s="6"/>
      <c r="F10" s="6">
        <f>SUM(F4:F8)</f>
        <v>204.041</v>
      </c>
      <c r="G10" s="6"/>
      <c r="H10" s="6"/>
      <c r="I10" s="6"/>
      <c r="J10" s="6"/>
      <c r="K10" s="6"/>
      <c r="L10" s="6"/>
      <c r="M10" s="6"/>
      <c r="N10" s="6"/>
    </row>
    <row r="11" spans="1:111" s="5" customFormat="1" x14ac:dyDescent="0.2">
      <c r="B11" s="5" t="s">
        <v>20</v>
      </c>
      <c r="C11" s="6"/>
      <c r="D11" s="6"/>
      <c r="E11" s="6"/>
      <c r="F11" s="6">
        <f>67.768+17.468+12.06+16.802</f>
        <v>114.09800000000001</v>
      </c>
      <c r="G11" s="6"/>
      <c r="H11" s="6"/>
      <c r="I11" s="6"/>
      <c r="J11" s="6"/>
      <c r="K11" s="6"/>
      <c r="L11" s="6"/>
      <c r="M11" s="6"/>
      <c r="N11" s="6"/>
    </row>
    <row r="12" spans="1:111" s="5" customFormat="1" x14ac:dyDescent="0.2">
      <c r="B12" s="5" t="s">
        <v>21</v>
      </c>
      <c r="C12" s="6"/>
      <c r="D12" s="6"/>
      <c r="E12" s="6"/>
      <c r="F12" s="6">
        <f>F10-F11</f>
        <v>89.942999999999984</v>
      </c>
      <c r="G12" s="6"/>
      <c r="H12" s="6"/>
      <c r="I12" s="6"/>
      <c r="J12" s="6"/>
      <c r="K12" s="6"/>
      <c r="L12" s="6"/>
      <c r="M12" s="6"/>
      <c r="N12" s="6"/>
    </row>
    <row r="13" spans="1:111" s="5" customFormat="1" x14ac:dyDescent="0.2">
      <c r="B13" s="5" t="s">
        <v>22</v>
      </c>
      <c r="C13" s="6"/>
      <c r="D13" s="6"/>
      <c r="E13" s="6"/>
      <c r="F13" s="5">
        <v>41.634999999999998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111" s="5" customFormat="1" x14ac:dyDescent="0.2">
      <c r="B14" s="5" t="s">
        <v>23</v>
      </c>
      <c r="D14" s="6"/>
      <c r="E14" s="6"/>
      <c r="F14" s="6">
        <v>39.112000000000002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111" s="5" customFormat="1" x14ac:dyDescent="0.2">
      <c r="B15" s="5" t="s">
        <v>24</v>
      </c>
      <c r="C15" s="6"/>
      <c r="D15" s="6"/>
      <c r="E15" s="6"/>
      <c r="F15" s="6">
        <v>40.915999999999997</v>
      </c>
      <c r="G15" s="6"/>
      <c r="H15" s="6"/>
      <c r="I15" s="6"/>
      <c r="J15" s="6"/>
      <c r="K15" s="6"/>
      <c r="L15" s="6"/>
      <c r="M15" s="6"/>
      <c r="N15" s="6"/>
    </row>
    <row r="16" spans="1:111" s="5" customFormat="1" x14ac:dyDescent="0.2">
      <c r="B16" s="5" t="s">
        <v>25</v>
      </c>
      <c r="C16" s="6"/>
      <c r="D16" s="6"/>
      <c r="E16" s="6"/>
      <c r="F16" s="6">
        <f>SUM(F13:F15)</f>
        <v>121.663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29" s="5" customFormat="1" x14ac:dyDescent="0.2">
      <c r="B17" s="5" t="s">
        <v>26</v>
      </c>
      <c r="C17" s="6"/>
      <c r="D17" s="6"/>
      <c r="E17" s="6"/>
      <c r="F17" s="6">
        <f>F12-F16</f>
        <v>-31.720000000000013</v>
      </c>
      <c r="G17" s="6"/>
      <c r="H17" s="6"/>
      <c r="I17" s="6"/>
      <c r="J17" s="6"/>
      <c r="K17" s="6"/>
      <c r="L17" s="6"/>
      <c r="M17" s="6"/>
      <c r="N17" s="6"/>
    </row>
    <row r="18" spans="2:29" s="5" customFormat="1" x14ac:dyDescent="0.2">
      <c r="B18" s="5" t="s">
        <v>27</v>
      </c>
      <c r="C18" s="6"/>
      <c r="D18" s="6"/>
      <c r="E18" s="6"/>
      <c r="F18" s="6">
        <v>0.24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9" s="1" customFormat="1" x14ac:dyDescent="0.2">
      <c r="B19" s="5" t="s">
        <v>28</v>
      </c>
      <c r="C19" s="7"/>
      <c r="D19" s="7"/>
      <c r="E19" s="7"/>
      <c r="F19" s="7">
        <f>F17+F18</f>
        <v>-31.480000000000015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9" s="5" customFormat="1" x14ac:dyDescent="0.2">
      <c r="B20" s="5" t="s">
        <v>31</v>
      </c>
      <c r="C20" s="6"/>
      <c r="D20" s="6"/>
      <c r="E20" s="6"/>
      <c r="F20" s="6">
        <v>7.8E-2</v>
      </c>
      <c r="G20" s="6"/>
      <c r="H20" s="6"/>
      <c r="I20" s="6"/>
      <c r="J20" s="6"/>
      <c r="K20" s="6"/>
      <c r="L20" s="6"/>
      <c r="M20" s="6"/>
      <c r="N20" s="6"/>
    </row>
    <row r="21" spans="2:29" x14ac:dyDescent="0.2">
      <c r="B21" s="5" t="s">
        <v>29</v>
      </c>
      <c r="F21" s="7">
        <f>F19-F20</f>
        <v>-31.558000000000014</v>
      </c>
    </row>
    <row r="22" spans="2:29" s="11" customFormat="1" x14ac:dyDescent="0.2">
      <c r="B22" s="1" t="s">
        <v>30</v>
      </c>
      <c r="C22" s="9"/>
      <c r="D22" s="9"/>
      <c r="E22" s="9"/>
      <c r="F22" s="9">
        <f>F21/F23</f>
        <v>-0.44572488774640895</v>
      </c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2:29" s="11" customFormat="1" x14ac:dyDescent="0.2">
      <c r="B23" s="5" t="s">
        <v>1</v>
      </c>
      <c r="C23" s="9"/>
      <c r="D23" s="9"/>
      <c r="E23" s="9"/>
      <c r="F23" s="9">
        <v>70.801520999999994</v>
      </c>
      <c r="G23" s="9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2:29" x14ac:dyDescent="0.2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Z24" t="s">
        <v>47</v>
      </c>
      <c r="AB24" t="s">
        <v>48</v>
      </c>
    </row>
    <row r="25" spans="2:29" x14ac:dyDescent="0.2">
      <c r="B25" s="3" t="s">
        <v>32</v>
      </c>
      <c r="Z25" s="15" t="s">
        <v>38</v>
      </c>
      <c r="AA25" s="23">
        <v>0.27</v>
      </c>
      <c r="AB25" s="15" t="s">
        <v>38</v>
      </c>
      <c r="AC25" s="23">
        <v>0.28000000000000003</v>
      </c>
    </row>
    <row r="26" spans="2:29" s="5" customFormat="1" x14ac:dyDescent="0.2">
      <c r="B26" s="3" t="s">
        <v>49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Z26" s="17" t="s">
        <v>37</v>
      </c>
      <c r="AA26" s="16">
        <v>0.01</v>
      </c>
    </row>
    <row r="27" spans="2:29" s="5" customFormat="1" x14ac:dyDescent="0.2">
      <c r="B27" s="5" t="s">
        <v>33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Z27" s="17" t="s">
        <v>36</v>
      </c>
      <c r="AA27" s="16">
        <v>0.08</v>
      </c>
    </row>
    <row r="28" spans="2:29" s="5" customForma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Z28" s="17" t="s">
        <v>39</v>
      </c>
      <c r="AA28" s="18">
        <f>NPV(AA27,Z5:DG5)</f>
        <v>0</v>
      </c>
      <c r="AB28" s="17" t="s">
        <v>39</v>
      </c>
      <c r="AC28" s="26">
        <f>NPV($AA$27,Z6:DG6)</f>
        <v>0</v>
      </c>
    </row>
    <row r="29" spans="2:29" s="5" customFormat="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Z29" s="17" t="s">
        <v>1</v>
      </c>
      <c r="AA29" s="21">
        <f>Main!$O$3</f>
        <v>0</v>
      </c>
      <c r="AB29" s="17" t="s">
        <v>1</v>
      </c>
      <c r="AC29" s="21">
        <f>Main!$O$3</f>
        <v>0</v>
      </c>
    </row>
    <row r="30" spans="2:29" s="5" customFormat="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Z30" s="17" t="s">
        <v>40</v>
      </c>
      <c r="AA30" s="19" t="e">
        <f>AA28/AA29</f>
        <v>#DIV/0!</v>
      </c>
      <c r="AB30" s="17" t="s">
        <v>40</v>
      </c>
      <c r="AC30" s="19" t="e">
        <f>AC28/AC29</f>
        <v>#DIV/0!</v>
      </c>
    </row>
    <row r="31" spans="2:29" s="5" customFormat="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Z31" s="17" t="s">
        <v>41</v>
      </c>
      <c r="AA31" s="20" t="e">
        <f>(AA30-Main!$O$2)/Main!$O$2</f>
        <v>#DIV/0!</v>
      </c>
      <c r="AB31" s="17" t="s">
        <v>41</v>
      </c>
      <c r="AC31" s="20" t="e">
        <f>(AC30-Main!$O$2)/Main!$O$2</f>
        <v>#DIV/0!</v>
      </c>
    </row>
    <row r="32" spans="2:29" s="5" customFormat="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Z32" s="17" t="s">
        <v>42</v>
      </c>
      <c r="AA32" s="18" t="e">
        <f>AA29*AA30</f>
        <v>#DIV/0!</v>
      </c>
      <c r="AB32" s="17" t="s">
        <v>42</v>
      </c>
      <c r="AC32" s="18" t="e">
        <f>AC29*AC30</f>
        <v>#DIV/0!</v>
      </c>
    </row>
    <row r="33" spans="3:14" s="5" customFormat="1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3:14" s="5" customFormat="1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hyperlinks>
    <hyperlink ref="A1" location="Main!A1" display="Main" xr:uid="{0C2CB192-972E-49C2-986E-DB4F425D454A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2022-09-02T02:52:19Z</dcterms:created>
  <dcterms:modified xsi:type="dcterms:W3CDTF">2025-02-10T04:54:26Z</dcterms:modified>
</cp:coreProperties>
</file>