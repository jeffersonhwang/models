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77FB14E2-EC50-4160-86B3-6E6C72411D8B}" xr6:coauthVersionLast="47" xr6:coauthVersionMax="47" xr10:uidLastSave="{00000000-0000-0000-0000-000000000000}"/>
  <bookViews>
    <workbookView xWindow="16730" yWindow="5250" windowWidth="19170" windowHeight="13220" xr2:uid="{6439CE67-ACE2-4FCF-8ECA-6DAA601FD426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A12" i="2" l="1"/>
  <c r="Z12" i="2"/>
  <c r="Y12" i="2"/>
  <c r="X12" i="2"/>
  <c r="W12" i="2"/>
  <c r="V12" i="2"/>
  <c r="AA9" i="2"/>
  <c r="AA10" i="2" s="1"/>
  <c r="AA4" i="2"/>
  <c r="AA5" i="2" s="1"/>
  <c r="AA3" i="2"/>
  <c r="Z3" i="2"/>
  <c r="W8" i="2"/>
  <c r="X8" i="2" s="1"/>
  <c r="Y8" i="2" s="1"/>
  <c r="Z8" i="2" s="1"/>
  <c r="W7" i="2"/>
  <c r="X7" i="2" s="1"/>
  <c r="V8" i="2"/>
  <c r="V7" i="2"/>
  <c r="W9" i="2"/>
  <c r="W10" i="2" s="1"/>
  <c r="V9" i="2"/>
  <c r="V10" i="2" s="1"/>
  <c r="Z4" i="2"/>
  <c r="Y4" i="2"/>
  <c r="X4" i="2"/>
  <c r="W4" i="2"/>
  <c r="V4" i="2"/>
  <c r="W17" i="2"/>
  <c r="Z16" i="2"/>
  <c r="Y16" i="2"/>
  <c r="X16" i="2"/>
  <c r="W16" i="2"/>
  <c r="V16" i="2"/>
  <c r="U17" i="2"/>
  <c r="T17" i="2"/>
  <c r="Z5" i="2"/>
  <c r="Z17" i="2" s="1"/>
  <c r="Y5" i="2"/>
  <c r="Y17" i="2" s="1"/>
  <c r="X5" i="2"/>
  <c r="X17" i="2" s="1"/>
  <c r="W5" i="2"/>
  <c r="V5" i="2"/>
  <c r="V17" i="2" s="1"/>
  <c r="Y3" i="2"/>
  <c r="X3" i="2"/>
  <c r="W3" i="2"/>
  <c r="V3" i="2"/>
  <c r="T16" i="2"/>
  <c r="U16" i="2"/>
  <c r="T9" i="2"/>
  <c r="T10" i="2" s="1"/>
  <c r="S9" i="2"/>
  <c r="S10" i="2" s="1"/>
  <c r="U10" i="2"/>
  <c r="U9" i="2"/>
  <c r="T5" i="2"/>
  <c r="S5" i="2"/>
  <c r="U5" i="2"/>
  <c r="T2" i="2"/>
  <c r="U2" i="2" s="1"/>
  <c r="V2" i="2" s="1"/>
  <c r="W2" i="2" s="1"/>
  <c r="X2" i="2" s="1"/>
  <c r="Y2" i="2" s="1"/>
  <c r="Z2" i="2" s="1"/>
  <c r="AA2" i="2" s="1"/>
  <c r="AB2" i="2" s="1"/>
  <c r="AC2" i="2" s="1"/>
  <c r="S2" i="2"/>
  <c r="L6" i="1"/>
  <c r="L5" i="1"/>
  <c r="L4" i="1"/>
  <c r="L7" i="1" s="1"/>
  <c r="X9" i="2" l="1"/>
  <c r="X10" i="2" s="1"/>
  <c r="Z9" i="2" l="1"/>
  <c r="Z10" i="2" s="1"/>
  <c r="Y9" i="2"/>
  <c r="Y10" i="2" s="1"/>
</calcChain>
</file>

<file path=xl/sharedStrings.xml><?xml version="1.0" encoding="utf-8"?>
<sst xmlns="http://schemas.openxmlformats.org/spreadsheetml/2006/main" count="42" uniqueCount="39">
  <si>
    <t>Price</t>
  </si>
  <si>
    <t>Shares</t>
  </si>
  <si>
    <t>MC</t>
  </si>
  <si>
    <t>Cash</t>
  </si>
  <si>
    <t>Debt</t>
  </si>
  <si>
    <t>EV</t>
  </si>
  <si>
    <t>Name</t>
  </si>
  <si>
    <t>Indication</t>
  </si>
  <si>
    <t>EDS</t>
  </si>
  <si>
    <t>Wakix (pitolisant)</t>
  </si>
  <si>
    <t>Approved</t>
  </si>
  <si>
    <t>MOA</t>
  </si>
  <si>
    <t>Q125</t>
  </si>
  <si>
    <t>Q425</t>
  </si>
  <si>
    <t>Main</t>
  </si>
  <si>
    <t>Revenue</t>
  </si>
  <si>
    <t>Q124</t>
  </si>
  <si>
    <t>Q224</t>
  </si>
  <si>
    <t>Q324</t>
  </si>
  <si>
    <t>Q424</t>
  </si>
  <si>
    <t>Q225</t>
  </si>
  <si>
    <t>Q325</t>
  </si>
  <si>
    <t>Q126</t>
  </si>
  <si>
    <t>Q226</t>
  </si>
  <si>
    <t>Q326</t>
  </si>
  <si>
    <t>Q426</t>
  </si>
  <si>
    <t>COGS</t>
  </si>
  <si>
    <t>Gross Profit</t>
  </si>
  <si>
    <t>Operating Income</t>
  </si>
  <si>
    <t>Operating Expenses</t>
  </si>
  <si>
    <t>G&amp;A</t>
  </si>
  <si>
    <t>S&amp;M</t>
  </si>
  <si>
    <t>R&amp;D</t>
  </si>
  <si>
    <t>Revenue y/y</t>
  </si>
  <si>
    <t>Gross Margin</t>
  </si>
  <si>
    <t>Net Cash</t>
  </si>
  <si>
    <t>clemizole</t>
  </si>
  <si>
    <t>Dravet</t>
  </si>
  <si>
    <t>BP1.15205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</si>
</sst>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1" fillId="0" borderId="1" xfId="0" applyFont="1" applyBorder="1"/>
    <xf numFmtId="0" fontId="1" fillId="0" borderId="3" xfId="0" applyFont="1" applyBorder="1"/>
    <xf numFmtId="0" fontId="1" fillId="0" borderId="6" xfId="0" applyFont="1" applyBorder="1"/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14" fontId="1" fillId="0" borderId="0" xfId="0" applyNumberFormat="1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7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3" fontId="2" fillId="0" borderId="0" xfId="0" applyNumberFormat="1" applyFont="1"/>
    <xf numFmtId="3" fontId="2" fillId="0" borderId="0" xfId="0" applyNumberFormat="1" applyFont="1" applyAlignment="1">
      <alignment horizontal="right"/>
    </xf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35801-3464-402C-BB7A-212C5C897E80}">
  <dimension ref="B2:M7"/>
  <sheetViews>
    <sheetView tabSelected="1" zoomScale="130" zoomScaleNormal="130" workbookViewId="0">
      <selection activeCell="C6" sqref="C6"/>
    </sheetView>
  </sheetViews>
  <sheetFormatPr defaultRowHeight="12.5" x14ac:dyDescent="0.25"/>
  <cols>
    <col min="1" max="1" width="4.1796875" style="1" customWidth="1"/>
    <col min="2" max="2" width="14.7265625" style="1" bestFit="1" customWidth="1"/>
    <col min="3" max="3" width="15.08984375" style="1" customWidth="1"/>
    <col min="4" max="4" width="9.90625" style="1" bestFit="1" customWidth="1"/>
    <col min="5" max="16384" width="8.7265625" style="1"/>
  </cols>
  <sheetData>
    <row r="2" spans="2:13" x14ac:dyDescent="0.25">
      <c r="B2" s="6" t="s">
        <v>6</v>
      </c>
      <c r="C2" s="14" t="s">
        <v>7</v>
      </c>
      <c r="D2" s="7" t="s">
        <v>10</v>
      </c>
      <c r="E2" s="7" t="s">
        <v>11</v>
      </c>
      <c r="F2" s="7"/>
      <c r="G2" s="7"/>
      <c r="H2" s="8"/>
      <c r="K2" s="1" t="s">
        <v>0</v>
      </c>
      <c r="L2" s="2">
        <v>32</v>
      </c>
    </row>
    <row r="3" spans="2:13" x14ac:dyDescent="0.25">
      <c r="B3" s="4" t="s">
        <v>9</v>
      </c>
      <c r="C3" s="15" t="s">
        <v>8</v>
      </c>
      <c r="D3" s="10">
        <v>43691</v>
      </c>
      <c r="E3" s="9"/>
      <c r="F3" s="9"/>
      <c r="G3" s="9"/>
      <c r="H3" s="11"/>
      <c r="K3" s="1" t="s">
        <v>1</v>
      </c>
      <c r="L3" s="3">
        <v>57.840614000000002</v>
      </c>
      <c r="M3" s="17" t="s">
        <v>13</v>
      </c>
    </row>
    <row r="4" spans="2:13" x14ac:dyDescent="0.25">
      <c r="B4" s="4"/>
      <c r="C4" s="15"/>
      <c r="D4" s="9"/>
      <c r="E4" s="9"/>
      <c r="F4" s="9"/>
      <c r="G4" s="9"/>
      <c r="H4" s="11"/>
      <c r="K4" s="1" t="s">
        <v>2</v>
      </c>
      <c r="L4" s="3">
        <f>+L2*L3</f>
        <v>1850.8996480000001</v>
      </c>
    </row>
    <row r="5" spans="2:13" x14ac:dyDescent="0.25">
      <c r="B5" s="4" t="s">
        <v>36</v>
      </c>
      <c r="C5" s="15" t="s">
        <v>37</v>
      </c>
      <c r="D5" s="9"/>
      <c r="E5" s="9"/>
      <c r="F5" s="9"/>
      <c r="G5" s="9"/>
      <c r="H5" s="11"/>
      <c r="K5" s="1" t="s">
        <v>3</v>
      </c>
      <c r="L5" s="3">
        <f>752.502+22.838+107.127</f>
        <v>882.46699999999987</v>
      </c>
      <c r="M5" s="17" t="s">
        <v>13</v>
      </c>
    </row>
    <row r="6" spans="2:13" x14ac:dyDescent="0.25">
      <c r="B6" s="4" t="s">
        <v>38</v>
      </c>
      <c r="C6" s="15"/>
      <c r="D6" s="9"/>
      <c r="E6" s="9"/>
      <c r="F6" s="9"/>
      <c r="G6" s="9"/>
      <c r="H6" s="11"/>
      <c r="K6" s="1" t="s">
        <v>4</v>
      </c>
      <c r="L6" s="3">
        <f>143.663+20</f>
        <v>163.66300000000001</v>
      </c>
      <c r="M6" s="17" t="s">
        <v>13</v>
      </c>
    </row>
    <row r="7" spans="2:13" x14ac:dyDescent="0.25">
      <c r="B7" s="5"/>
      <c r="C7" s="16"/>
      <c r="D7" s="12"/>
      <c r="E7" s="12"/>
      <c r="F7" s="12"/>
      <c r="G7" s="12"/>
      <c r="H7" s="13"/>
      <c r="K7" s="1" t="s">
        <v>5</v>
      </c>
      <c r="L7" s="3">
        <f>+L4-L5+L6</f>
        <v>1132.0956480000002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FA407-103D-40F0-8847-F593C9AFDB76}">
  <dimension ref="A1:AC17"/>
  <sheetViews>
    <sheetView zoomScale="145" zoomScaleNormal="145" workbookViewId="0">
      <pane xSplit="2" ySplit="2" topLeftCell="S3" activePane="bottomRight" state="frozen"/>
      <selection pane="topRight" activeCell="C1" sqref="C1"/>
      <selection pane="bottomLeft" activeCell="A3" sqref="A3"/>
      <selection pane="bottomRight" activeCell="U12" sqref="U12"/>
    </sheetView>
  </sheetViews>
  <sheetFormatPr defaultRowHeight="12.5" x14ac:dyDescent="0.25"/>
  <cols>
    <col min="1" max="1" width="4.6328125" style="1" bestFit="1" customWidth="1"/>
    <col min="2" max="2" width="17.26953125" style="1" bestFit="1" customWidth="1"/>
    <col min="3" max="14" width="8.7265625" style="17"/>
    <col min="15" max="16384" width="8.7265625" style="1"/>
  </cols>
  <sheetData>
    <row r="1" spans="1:29" x14ac:dyDescent="0.25">
      <c r="A1" s="1" t="s">
        <v>14</v>
      </c>
    </row>
    <row r="2" spans="1:29" x14ac:dyDescent="0.25">
      <c r="C2" s="17" t="s">
        <v>16</v>
      </c>
      <c r="D2" s="17" t="s">
        <v>17</v>
      </c>
      <c r="E2" s="17" t="s">
        <v>18</v>
      </c>
      <c r="F2" s="17" t="s">
        <v>19</v>
      </c>
      <c r="G2" s="17" t="s">
        <v>12</v>
      </c>
      <c r="H2" s="17" t="s">
        <v>20</v>
      </c>
      <c r="I2" s="17" t="s">
        <v>21</v>
      </c>
      <c r="J2" s="17" t="s">
        <v>13</v>
      </c>
      <c r="K2" s="17" t="s">
        <v>22</v>
      </c>
      <c r="L2" s="17" t="s">
        <v>23</v>
      </c>
      <c r="M2" s="17" t="s">
        <v>24</v>
      </c>
      <c r="N2" s="17" t="s">
        <v>25</v>
      </c>
      <c r="R2" s="1">
        <v>2022</v>
      </c>
      <c r="S2" s="1">
        <f>+R2+1</f>
        <v>2023</v>
      </c>
      <c r="T2" s="1">
        <f t="shared" ref="T2:AC2" si="0">+S2+1</f>
        <v>2024</v>
      </c>
      <c r="U2" s="1">
        <f t="shared" si="0"/>
        <v>2025</v>
      </c>
      <c r="V2" s="1">
        <f t="shared" si="0"/>
        <v>2026</v>
      </c>
      <c r="W2" s="1">
        <f t="shared" si="0"/>
        <v>2027</v>
      </c>
      <c r="X2" s="1">
        <f t="shared" si="0"/>
        <v>2028</v>
      </c>
      <c r="Y2" s="1">
        <f t="shared" si="0"/>
        <v>2029</v>
      </c>
      <c r="Z2" s="1">
        <f t="shared" si="0"/>
        <v>2030</v>
      </c>
      <c r="AA2" s="1">
        <f t="shared" si="0"/>
        <v>2031</v>
      </c>
      <c r="AB2" s="1">
        <f t="shared" si="0"/>
        <v>2032</v>
      </c>
      <c r="AC2" s="1">
        <f t="shared" si="0"/>
        <v>2033</v>
      </c>
    </row>
    <row r="3" spans="1:29" s="19" customFormat="1" ht="13" x14ac:dyDescent="0.3">
      <c r="B3" s="19" t="s">
        <v>15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S3" s="19">
        <v>582.02200000000005</v>
      </c>
      <c r="T3" s="19">
        <v>714.73400000000004</v>
      </c>
      <c r="U3" s="19">
        <v>868.45299999999997</v>
      </c>
      <c r="V3" s="19">
        <f>+U3*1.1</f>
        <v>955.29830000000004</v>
      </c>
      <c r="W3" s="19">
        <f>+V3*1.1</f>
        <v>1050.8281300000001</v>
      </c>
      <c r="X3" s="19">
        <f>+W3*1.1</f>
        <v>1155.9109430000003</v>
      </c>
      <c r="Y3" s="19">
        <f>+X3*1.1</f>
        <v>1271.5020373000004</v>
      </c>
      <c r="Z3" s="19">
        <f>+Y3*0.5</f>
        <v>635.75101865000022</v>
      </c>
      <c r="AA3" s="19">
        <f>+Z3*0.1</f>
        <v>63.575101865000022</v>
      </c>
    </row>
    <row r="4" spans="1:29" s="3" customFormat="1" x14ac:dyDescent="0.25">
      <c r="B4" s="3" t="s">
        <v>26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S4" s="3">
        <v>121.236</v>
      </c>
      <c r="T4" s="3">
        <v>156.815</v>
      </c>
      <c r="U4" s="3">
        <v>198.34200000000001</v>
      </c>
      <c r="V4" s="3">
        <f>+V3*0.22</f>
        <v>210.165626</v>
      </c>
      <c r="W4" s="3">
        <f t="shared" ref="W4:Z4" si="1">+W3*0.22</f>
        <v>231.18218860000002</v>
      </c>
      <c r="X4" s="3">
        <f t="shared" si="1"/>
        <v>254.30040746000006</v>
      </c>
      <c r="Y4" s="3">
        <f t="shared" si="1"/>
        <v>279.73044820600012</v>
      </c>
      <c r="Z4" s="3">
        <f t="shared" si="1"/>
        <v>139.86522410300006</v>
      </c>
      <c r="AA4" s="3">
        <f t="shared" ref="AA4" si="2">+AA3*0.22</f>
        <v>13.986522410300005</v>
      </c>
    </row>
    <row r="5" spans="1:29" s="3" customFormat="1" x14ac:dyDescent="0.25">
      <c r="B5" s="3" t="s">
        <v>27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S5" s="3">
        <f t="shared" ref="S5:T5" si="3">+S3-S4</f>
        <v>460.78600000000006</v>
      </c>
      <c r="T5" s="3">
        <f t="shared" si="3"/>
        <v>557.9190000000001</v>
      </c>
      <c r="U5" s="3">
        <f>+U3-U4</f>
        <v>670.11099999999999</v>
      </c>
      <c r="V5" s="3">
        <f t="shared" ref="V5:Z5" si="4">+V3-V4</f>
        <v>745.13267400000007</v>
      </c>
      <c r="W5" s="3">
        <f t="shared" si="4"/>
        <v>819.64594140000008</v>
      </c>
      <c r="X5" s="3">
        <f t="shared" si="4"/>
        <v>901.61053554000023</v>
      </c>
      <c r="Y5" s="3">
        <f t="shared" si="4"/>
        <v>991.77158909400032</v>
      </c>
      <c r="Z5" s="3">
        <f t="shared" si="4"/>
        <v>495.88579454700016</v>
      </c>
      <c r="AA5" s="3">
        <f t="shared" ref="AA5" si="5">+AA3-AA4</f>
        <v>49.588579454700017</v>
      </c>
    </row>
    <row r="6" spans="1:29" s="3" customFormat="1" x14ac:dyDescent="0.25">
      <c r="B6" s="3" t="s">
        <v>32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S6" s="3">
        <v>76.063000000000002</v>
      </c>
      <c r="T6" s="3">
        <v>145.82499999999999</v>
      </c>
      <c r="U6" s="3">
        <v>189.59399999999999</v>
      </c>
    </row>
    <row r="7" spans="1:29" s="3" customFormat="1" x14ac:dyDescent="0.25">
      <c r="B7" s="3" t="s">
        <v>31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S7" s="3">
        <v>97.403999999999996</v>
      </c>
      <c r="T7" s="3">
        <v>110.916</v>
      </c>
      <c r="U7" s="3">
        <v>119.512</v>
      </c>
      <c r="V7" s="3">
        <f>+U7</f>
        <v>119.512</v>
      </c>
      <c r="W7" s="3">
        <f t="shared" ref="W7:Z7" si="6">+V7</f>
        <v>119.512</v>
      </c>
      <c r="X7" s="3">
        <f t="shared" si="6"/>
        <v>119.512</v>
      </c>
    </row>
    <row r="8" spans="1:29" s="3" customFormat="1" x14ac:dyDescent="0.25">
      <c r="B8" s="3" t="s">
        <v>30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S8" s="3">
        <v>95.289000000000001</v>
      </c>
      <c r="T8" s="3">
        <v>110.352</v>
      </c>
      <c r="U8" s="3">
        <v>152.536</v>
      </c>
      <c r="V8" s="3">
        <f>+U8</f>
        <v>152.536</v>
      </c>
      <c r="W8" s="3">
        <f t="shared" ref="W8:Z8" si="7">+V8</f>
        <v>152.536</v>
      </c>
      <c r="X8" s="3">
        <f t="shared" si="7"/>
        <v>152.536</v>
      </c>
      <c r="Y8" s="3">
        <f t="shared" si="7"/>
        <v>152.536</v>
      </c>
      <c r="Z8" s="3">
        <f t="shared" si="7"/>
        <v>152.536</v>
      </c>
    </row>
    <row r="9" spans="1:29" s="3" customFormat="1" x14ac:dyDescent="0.25">
      <c r="B9" s="3" t="s">
        <v>29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S9" s="3">
        <f t="shared" ref="S9:T9" si="8">SUM(S6:S8)</f>
        <v>268.75599999999997</v>
      </c>
      <c r="T9" s="3">
        <f t="shared" si="8"/>
        <v>367.09299999999996</v>
      </c>
      <c r="U9" s="3">
        <f>SUM(U6:U8)</f>
        <v>461.642</v>
      </c>
      <c r="V9" s="3">
        <f t="shared" ref="V9:Z9" si="9">SUM(V6:V8)</f>
        <v>272.048</v>
      </c>
      <c r="W9" s="3">
        <f t="shared" si="9"/>
        <v>272.048</v>
      </c>
      <c r="X9" s="3">
        <f t="shared" si="9"/>
        <v>272.048</v>
      </c>
      <c r="Y9" s="3">
        <f t="shared" si="9"/>
        <v>152.536</v>
      </c>
      <c r="Z9" s="3">
        <f t="shared" si="9"/>
        <v>152.536</v>
      </c>
      <c r="AA9" s="3">
        <f t="shared" ref="AA9" si="10">SUM(AA6:AA8)</f>
        <v>0</v>
      </c>
    </row>
    <row r="10" spans="1:29" s="3" customFormat="1" x14ac:dyDescent="0.25">
      <c r="B10" s="3" t="s">
        <v>28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S10" s="3">
        <f t="shared" ref="S10:T10" si="11">S5-S9</f>
        <v>192.03000000000009</v>
      </c>
      <c r="T10" s="3">
        <f t="shared" si="11"/>
        <v>190.82600000000014</v>
      </c>
      <c r="U10" s="3">
        <f>U5-U9</f>
        <v>208.46899999999999</v>
      </c>
      <c r="V10" s="3">
        <f t="shared" ref="V10:Z10" si="12">V5-V9</f>
        <v>473.08467400000006</v>
      </c>
      <c r="W10" s="3">
        <f t="shared" si="12"/>
        <v>547.59794140000008</v>
      </c>
      <c r="X10" s="3">
        <f t="shared" si="12"/>
        <v>629.56253554000023</v>
      </c>
      <c r="Y10" s="3">
        <f t="shared" si="12"/>
        <v>839.23558909400026</v>
      </c>
      <c r="Z10" s="3">
        <f t="shared" si="12"/>
        <v>343.34979454700016</v>
      </c>
      <c r="AA10" s="3">
        <f t="shared" ref="AA10" si="13">AA5-AA9</f>
        <v>49.588579454700017</v>
      </c>
    </row>
    <row r="12" spans="1:29" x14ac:dyDescent="0.25">
      <c r="B12" s="1" t="s">
        <v>35</v>
      </c>
      <c r="U12" s="3">
        <v>1132</v>
      </c>
      <c r="V12" s="3">
        <f>+U12+V10</f>
        <v>1605.0846740000002</v>
      </c>
      <c r="W12" s="3">
        <f>+V12+W10</f>
        <v>2152.6826154</v>
      </c>
      <c r="X12" s="3">
        <f>+W12+X10</f>
        <v>2782.2451509400003</v>
      </c>
      <c r="Y12" s="3">
        <f>+X12+Y10</f>
        <v>3621.4807400340005</v>
      </c>
      <c r="Z12" s="3">
        <f>+Y12+Z10</f>
        <v>3964.8305345810008</v>
      </c>
      <c r="AA12" s="3">
        <f>+Z12+AA10</f>
        <v>4014.4191140357007</v>
      </c>
    </row>
    <row r="16" spans="1:29" x14ac:dyDescent="0.25">
      <c r="B16" s="1" t="s">
        <v>33</v>
      </c>
      <c r="T16" s="21">
        <f t="shared" ref="T16:U16" si="14">+T3/S3-1</f>
        <v>0.22801887213885386</v>
      </c>
      <c r="U16" s="21">
        <f>+U3/T3-1</f>
        <v>0.21507162105062849</v>
      </c>
      <c r="V16" s="21">
        <f t="shared" ref="V16:Z16" si="15">+V3/U3-1</f>
        <v>0.10000000000000009</v>
      </c>
      <c r="W16" s="21">
        <f t="shared" si="15"/>
        <v>0.10000000000000009</v>
      </c>
      <c r="X16" s="21">
        <f t="shared" si="15"/>
        <v>0.10000000000000009</v>
      </c>
      <c r="Y16" s="21">
        <f t="shared" si="15"/>
        <v>0.10000000000000009</v>
      </c>
      <c r="Z16" s="21">
        <f t="shared" si="15"/>
        <v>-0.5</v>
      </c>
    </row>
    <row r="17" spans="2:26" x14ac:dyDescent="0.25">
      <c r="B17" s="1" t="s">
        <v>34</v>
      </c>
      <c r="T17" s="21">
        <f>+T5/T3</f>
        <v>0.78059669751264116</v>
      </c>
      <c r="U17" s="21">
        <f t="shared" ref="U17:Y17" si="16">+U5/U3</f>
        <v>0.77161458363319602</v>
      </c>
      <c r="V17" s="21">
        <f t="shared" ref="V17:Z17" si="17">+V5/V3</f>
        <v>0.78</v>
      </c>
      <c r="W17" s="21">
        <f t="shared" si="17"/>
        <v>0.78</v>
      </c>
      <c r="X17" s="21">
        <f t="shared" si="17"/>
        <v>0.78</v>
      </c>
      <c r="Y17" s="21">
        <f t="shared" si="17"/>
        <v>0.78</v>
      </c>
      <c r="Z17" s="21">
        <f t="shared" si="17"/>
        <v>0.78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2026-05-04T14:33:34Z</dcterms:created>
  <dcterms:modified xsi:type="dcterms:W3CDTF">2026-05-04T14:52:22Z</dcterms:modified>
</cp:coreProperties>
</file>