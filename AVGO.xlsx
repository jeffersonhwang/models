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0F6C593-E98D-4E5A-9EE0-95BED5F1D5CF}" xr6:coauthVersionLast="47" xr6:coauthVersionMax="47" xr10:uidLastSave="{00000000-0000-0000-0000-000000000000}"/>
  <bookViews>
    <workbookView xWindow="-210" yWindow="4790" windowWidth="23600" windowHeight="13830" xr2:uid="{70329CC5-8756-4BA4-A5C1-E709DAADAB5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2" l="1"/>
  <c r="P43" i="2"/>
  <c r="P39" i="2"/>
  <c r="P37" i="2"/>
  <c r="O17" i="2"/>
  <c r="O12" i="2"/>
  <c r="O27" i="2" s="1"/>
  <c r="Q26" i="2"/>
  <c r="O43" i="2"/>
  <c r="O47" i="2" s="1"/>
  <c r="O37" i="2"/>
  <c r="O39" i="2" s="1"/>
  <c r="P31" i="2"/>
  <c r="O31" i="2"/>
  <c r="O26" i="2"/>
  <c r="N12" i="2"/>
  <c r="P15" i="2"/>
  <c r="O15" i="2"/>
  <c r="O16" i="2" s="1"/>
  <c r="O28" i="2" s="1"/>
  <c r="P11" i="2"/>
  <c r="P10" i="2"/>
  <c r="P26" i="2" s="1"/>
  <c r="R3" i="2"/>
  <c r="Q3" i="2"/>
  <c r="P12" i="2" l="1"/>
  <c r="P27" i="2" s="1"/>
  <c r="P16" i="2"/>
  <c r="O18" i="2"/>
  <c r="O20" i="2" s="1"/>
  <c r="M57" i="2"/>
  <c r="N57" i="2"/>
  <c r="N56" i="2"/>
  <c r="N58" i="2" s="1"/>
  <c r="M58" i="2"/>
  <c r="L58" i="2"/>
  <c r="K58" i="2"/>
  <c r="N43" i="2"/>
  <c r="N47" i="2"/>
  <c r="M47" i="2"/>
  <c r="M39" i="2"/>
  <c r="N37" i="2"/>
  <c r="N39" i="2" s="1"/>
  <c r="M17" i="2"/>
  <c r="M15" i="2"/>
  <c r="M12" i="2"/>
  <c r="N31" i="2"/>
  <c r="M31" i="2"/>
  <c r="M26" i="2"/>
  <c r="N17" i="2"/>
  <c r="N15" i="2"/>
  <c r="N16" i="2"/>
  <c r="N18" i="2" s="1"/>
  <c r="N20" i="2" s="1"/>
  <c r="N21" i="2" s="1"/>
  <c r="K47" i="2"/>
  <c r="L43" i="2"/>
  <c r="L31" i="2" s="1"/>
  <c r="K39" i="2"/>
  <c r="L37" i="2"/>
  <c r="L39" i="2" s="1"/>
  <c r="H19" i="2"/>
  <c r="K19" i="2"/>
  <c r="L19" i="2"/>
  <c r="K17" i="2"/>
  <c r="K12" i="2"/>
  <c r="L17" i="2"/>
  <c r="L15" i="2"/>
  <c r="L12" i="2"/>
  <c r="L27" i="2" s="1"/>
  <c r="L26" i="2"/>
  <c r="K15" i="2"/>
  <c r="K9" i="2"/>
  <c r="K8" i="2"/>
  <c r="K7" i="2"/>
  <c r="K6" i="2"/>
  <c r="J43" i="2"/>
  <c r="J37" i="2"/>
  <c r="J39" i="2"/>
  <c r="J47" i="2"/>
  <c r="J56" i="2"/>
  <c r="J55" i="2"/>
  <c r="J54" i="2"/>
  <c r="J53" i="2"/>
  <c r="J52" i="2"/>
  <c r="J51" i="2"/>
  <c r="J50" i="2"/>
  <c r="J17" i="2"/>
  <c r="J11" i="2"/>
  <c r="J10" i="2"/>
  <c r="J12" i="2" s="1"/>
  <c r="J27" i="2" s="1"/>
  <c r="J15" i="2"/>
  <c r="L3" i="2"/>
  <c r="P3" i="2" s="1"/>
  <c r="K3" i="2"/>
  <c r="O3" i="2" s="1"/>
  <c r="S3" i="2" s="1"/>
  <c r="Y17" i="2"/>
  <c r="Y19" i="2"/>
  <c r="X19" i="2"/>
  <c r="X17" i="2"/>
  <c r="X15" i="2"/>
  <c r="X10" i="2"/>
  <c r="X12" i="2" s="1"/>
  <c r="X27" i="2" s="1"/>
  <c r="AA11" i="2"/>
  <c r="AA12" i="2" s="1"/>
  <c r="Z22" i="2"/>
  <c r="Z19" i="2"/>
  <c r="Y15" i="2"/>
  <c r="Z14" i="2"/>
  <c r="Z13" i="2"/>
  <c r="AA13" i="2" s="1"/>
  <c r="Z11" i="2"/>
  <c r="Y10" i="2"/>
  <c r="Z10" i="2"/>
  <c r="G26" i="2"/>
  <c r="C17" i="2"/>
  <c r="C15" i="2"/>
  <c r="C12" i="2"/>
  <c r="C27" i="2" s="1"/>
  <c r="F17" i="2"/>
  <c r="F15" i="2"/>
  <c r="F12" i="2"/>
  <c r="F27" i="2" s="1"/>
  <c r="H57" i="2"/>
  <c r="H58" i="2" s="1"/>
  <c r="H43" i="2"/>
  <c r="H37" i="2"/>
  <c r="H39" i="2" s="1"/>
  <c r="H47" i="2"/>
  <c r="D17" i="2"/>
  <c r="H26" i="2"/>
  <c r="D15" i="2"/>
  <c r="D12" i="2"/>
  <c r="D27" i="2" s="1"/>
  <c r="G17" i="2"/>
  <c r="G15" i="2"/>
  <c r="G12" i="2"/>
  <c r="G27" i="2" s="1"/>
  <c r="I57" i="2"/>
  <c r="I58" i="2" s="1"/>
  <c r="I43" i="2"/>
  <c r="I47" i="2" s="1"/>
  <c r="I37" i="2"/>
  <c r="I39" i="2" s="1"/>
  <c r="I26" i="2"/>
  <c r="E17" i="2"/>
  <c r="E15" i="2"/>
  <c r="E12" i="2"/>
  <c r="E27" i="2" s="1"/>
  <c r="H17" i="2"/>
  <c r="H15" i="2"/>
  <c r="H12" i="2"/>
  <c r="H27" i="2" s="1"/>
  <c r="I22" i="2"/>
  <c r="AA22" i="2" s="1"/>
  <c r="I17" i="2"/>
  <c r="I15" i="2"/>
  <c r="I12" i="2"/>
  <c r="I16" i="2" s="1"/>
  <c r="I28" i="2" s="1"/>
  <c r="J4" i="1"/>
  <c r="J7" i="1" s="1"/>
  <c r="O49" i="2" l="1"/>
  <c r="O21" i="2"/>
  <c r="P28" i="2"/>
  <c r="P18" i="2"/>
  <c r="P20" i="2" s="1"/>
  <c r="L47" i="2"/>
  <c r="N28" i="2"/>
  <c r="N27" i="2"/>
  <c r="N49" i="2"/>
  <c r="N26" i="2"/>
  <c r="M16" i="2"/>
  <c r="M18" i="2" s="1"/>
  <c r="M20" i="2" s="1"/>
  <c r="M27" i="2"/>
  <c r="M28" i="2"/>
  <c r="L16" i="2"/>
  <c r="Z12" i="2"/>
  <c r="Z27" i="2" s="1"/>
  <c r="J26" i="2"/>
  <c r="J57" i="2"/>
  <c r="J58" i="2" s="1"/>
  <c r="Y26" i="2"/>
  <c r="J16" i="2"/>
  <c r="Z17" i="2"/>
  <c r="AA17" i="2" s="1"/>
  <c r="Y12" i="2"/>
  <c r="Y27" i="2" s="1"/>
  <c r="Z15" i="2"/>
  <c r="AA14" i="2"/>
  <c r="AA26" i="2"/>
  <c r="Z26" i="2"/>
  <c r="X16" i="2"/>
  <c r="AA15" i="2"/>
  <c r="AA16" i="2" s="1"/>
  <c r="AA27" i="2"/>
  <c r="Y16" i="2"/>
  <c r="C16" i="2"/>
  <c r="I27" i="2"/>
  <c r="F16" i="2"/>
  <c r="D16" i="2"/>
  <c r="G16" i="2"/>
  <c r="I18" i="2"/>
  <c r="I20" i="2" s="1"/>
  <c r="E16" i="2"/>
  <c r="H16" i="2"/>
  <c r="P49" i="2" l="1"/>
  <c r="P21" i="2"/>
  <c r="Z16" i="2"/>
  <c r="M21" i="2"/>
  <c r="M49" i="2"/>
  <c r="L18" i="2"/>
  <c r="L20" i="2" s="1"/>
  <c r="L28" i="2"/>
  <c r="K26" i="2"/>
  <c r="J18" i="2"/>
  <c r="J20" i="2" s="1"/>
  <c r="J28" i="2"/>
  <c r="Y28" i="2"/>
  <c r="Y18" i="2"/>
  <c r="Y20" i="2" s="1"/>
  <c r="Y21" i="2" s="1"/>
  <c r="X18" i="2"/>
  <c r="X20" i="2" s="1"/>
  <c r="X21" i="2" s="1"/>
  <c r="X28" i="2"/>
  <c r="Z28" i="2"/>
  <c r="Z18" i="2"/>
  <c r="Z20" i="2" s="1"/>
  <c r="Z21" i="2" s="1"/>
  <c r="AA18" i="2"/>
  <c r="AA28" i="2"/>
  <c r="E18" i="2"/>
  <c r="E20" i="2" s="1"/>
  <c r="E21" i="2" s="1"/>
  <c r="E28" i="2"/>
  <c r="G18" i="2"/>
  <c r="G20" i="2" s="1"/>
  <c r="G21" i="2" s="1"/>
  <c r="G28" i="2"/>
  <c r="D18" i="2"/>
  <c r="D20" i="2" s="1"/>
  <c r="D21" i="2" s="1"/>
  <c r="D28" i="2"/>
  <c r="F18" i="2"/>
  <c r="F20" i="2" s="1"/>
  <c r="F21" i="2" s="1"/>
  <c r="F28" i="2"/>
  <c r="C18" i="2"/>
  <c r="C20" i="2" s="1"/>
  <c r="C21" i="2" s="1"/>
  <c r="C28" i="2"/>
  <c r="H18" i="2"/>
  <c r="H20" i="2" s="1"/>
  <c r="H28" i="2"/>
  <c r="I49" i="2"/>
  <c r="I21" i="2"/>
  <c r="L21" i="2" l="1"/>
  <c r="L49" i="2"/>
  <c r="K27" i="2"/>
  <c r="K16" i="2"/>
  <c r="J21" i="2"/>
  <c r="J49" i="2"/>
  <c r="AA19" i="2"/>
  <c r="AA20" i="2" s="1"/>
  <c r="AA21" i="2" s="1"/>
  <c r="H21" i="2"/>
  <c r="H49" i="2"/>
  <c r="K18" i="2" l="1"/>
  <c r="K28" i="2"/>
  <c r="K20" i="2" l="1"/>
  <c r="K21" i="2" l="1"/>
  <c r="K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tc={679F8F37-EAFB-4A83-A0B8-82580466F48F}</author>
  </authors>
  <commentList>
    <comment ref="P10" authorId="0" shapeId="0" xr:uid="{679F8F37-EAFB-4A83-A0B8-82580466F48F}">
      <text>
        <t>[Threaded comment]
Your version of Excel allows you to read this threaded comment; however, any edits to it will get removed if the file is opened in a newer version of Excel. Learn more: https://go.microsoft.com/fwlink/?linkid=870924
Comment:
    19.1m guidance Q425 call</t>
      </text>
    </comment>
  </commentList>
</comments>
</file>

<file path=xl/sharedStrings.xml><?xml version="1.0" encoding="utf-8"?>
<sst xmlns="http://schemas.openxmlformats.org/spreadsheetml/2006/main" count="106" uniqueCount="101">
  <si>
    <t>Price</t>
  </si>
  <si>
    <t>Shares</t>
  </si>
  <si>
    <t>MC</t>
  </si>
  <si>
    <t>Cash</t>
  </si>
  <si>
    <t>Debt</t>
  </si>
  <si>
    <t>EV</t>
  </si>
  <si>
    <t>Main</t>
  </si>
  <si>
    <t>Revenue</t>
  </si>
  <si>
    <t>FQ224</t>
  </si>
  <si>
    <t>FQ124</t>
  </si>
  <si>
    <t>FQ423</t>
  </si>
  <si>
    <t>FQ323</t>
  </si>
  <si>
    <t>Revenue y/y</t>
  </si>
  <si>
    <t>COGS</t>
  </si>
  <si>
    <t>Gross Profit</t>
  </si>
  <si>
    <t>Gross Margin</t>
  </si>
  <si>
    <t>R&amp;D</t>
  </si>
  <si>
    <t>SG&amp;A</t>
  </si>
  <si>
    <t>Operating Expenses</t>
  </si>
  <si>
    <t>$ mil</t>
  </si>
  <si>
    <t>Operating Income</t>
  </si>
  <si>
    <t>Operating Margin</t>
  </si>
  <si>
    <t>Interest Expense</t>
  </si>
  <si>
    <t>Pretax Income</t>
  </si>
  <si>
    <t>Taxes</t>
  </si>
  <si>
    <t>Net Income</t>
  </si>
  <si>
    <t>AR</t>
  </si>
  <si>
    <t>Inventory</t>
  </si>
  <si>
    <t>OCA</t>
  </si>
  <si>
    <t>PP&amp;E</t>
  </si>
  <si>
    <t>OLTA</t>
  </si>
  <si>
    <t>Goodwill</t>
  </si>
  <si>
    <t>Assets</t>
  </si>
  <si>
    <t>AP</t>
  </si>
  <si>
    <t>Employees</t>
  </si>
  <si>
    <t>OCL</t>
  </si>
  <si>
    <t>OLTL</t>
  </si>
  <si>
    <t>S/E</t>
  </si>
  <si>
    <t>L+S/E</t>
  </si>
  <si>
    <t>Model NI</t>
  </si>
  <si>
    <t>Reported NI</t>
  </si>
  <si>
    <t>Amortization</t>
  </si>
  <si>
    <t>SBC</t>
  </si>
  <si>
    <t>Depreciation</t>
  </si>
  <si>
    <t>CFFO</t>
  </si>
  <si>
    <t>WC</t>
  </si>
  <si>
    <t>DT</t>
  </si>
  <si>
    <t>Non-cash Interest</t>
  </si>
  <si>
    <t>Other</t>
  </si>
  <si>
    <t>FQ123</t>
  </si>
  <si>
    <t>FQ223</t>
  </si>
  <si>
    <t>FQ422</t>
  </si>
  <si>
    <t>T</t>
  </si>
  <si>
    <t>HPQ</t>
  </si>
  <si>
    <t>LSI</t>
  </si>
  <si>
    <t>BRCM</t>
  </si>
  <si>
    <t>BRCD</t>
  </si>
  <si>
    <t>SYMC</t>
  </si>
  <si>
    <t>VMW</t>
  </si>
  <si>
    <t>CMOS</t>
  </si>
  <si>
    <t>networking, broadband, set top boxes</t>
  </si>
  <si>
    <t>FC SAN (fibre channel)</t>
  </si>
  <si>
    <t>11/22/23: VMware deal closes: $86.3B.</t>
  </si>
  <si>
    <t>analog III-V - faster switching transistors, better performance for RF and optoelectronics - 3rd to 5th element groups: gallium, indium</t>
  </si>
  <si>
    <t>Headcount</t>
  </si>
  <si>
    <t>2014: LSI acquisition</t>
  </si>
  <si>
    <t>TSM made 90% of wafers used by AVGO CM's in FY2023.</t>
  </si>
  <si>
    <t>FY2021</t>
  </si>
  <si>
    <t>FY2022</t>
  </si>
  <si>
    <t>FY2023</t>
  </si>
  <si>
    <t>FY2024</t>
  </si>
  <si>
    <t>FY2025</t>
  </si>
  <si>
    <t>Products</t>
  </si>
  <si>
    <t>Subscription/Services</t>
  </si>
  <si>
    <t>EPS</t>
  </si>
  <si>
    <t>WT Microelectronics - 21% of revenue FY2023</t>
  </si>
  <si>
    <t>FQ324</t>
  </si>
  <si>
    <t>FQ424</t>
  </si>
  <si>
    <t>FQ125</t>
  </si>
  <si>
    <t>FQ225</t>
  </si>
  <si>
    <t>FQ325</t>
  </si>
  <si>
    <t>FQ425</t>
  </si>
  <si>
    <t>Semiconductors</t>
  </si>
  <si>
    <t>Infrastructure</t>
  </si>
  <si>
    <t>FY2020</t>
  </si>
  <si>
    <t>FY2019</t>
  </si>
  <si>
    <t>Net Cash</t>
  </si>
  <si>
    <t>Q126</t>
  </si>
  <si>
    <t>FQ126</t>
  </si>
  <si>
    <t>FQ226</t>
  </si>
  <si>
    <t>FQ326</t>
  </si>
  <si>
    <t>FQ426</t>
  </si>
  <si>
    <t>Customers</t>
  </si>
  <si>
    <t>AAPL</t>
  </si>
  <si>
    <t>GOOGL</t>
  </si>
  <si>
    <t>META</t>
  </si>
  <si>
    <t>MSFT</t>
  </si>
  <si>
    <t>AMZN</t>
  </si>
  <si>
    <t>OpenAI</t>
  </si>
  <si>
    <t>11/22/23 acquisition $84B</t>
  </si>
  <si>
    <t>AI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</si>
</sst>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2" fillId="0" borderId="0" xfId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E0F043A-EC25-4009-AA58-4BDE5C6B6B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32524</xdr:colOff>
      <xdr:row>0</xdr:row>
      <xdr:rowOff>0</xdr:rowOff>
    </xdr:from>
    <xdr:to>
      <xdr:col>16</xdr:col>
      <xdr:colOff>32524</xdr:colOff>
      <xdr:row>70</xdr:row>
      <xdr:rowOff>125452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7A91EC-9E15-9529-0C0D-9DAE2C1C71FC}"/>
            </a:ext>
          </a:extLst>
        </xdr:cNvPr>
        <xdr:cNvCxnSpPr/>
      </xdr:nvCxnSpPr>
      <xdr:spPr>
        <a:xfrm>
          <a:off x="9763899" y="0"/>
          <a:ext cx="0" cy="111030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32523</xdr:colOff>
      <xdr:row>0</xdr:row>
      <xdr:rowOff>0</xdr:rowOff>
    </xdr:from>
    <xdr:to>
      <xdr:col>26</xdr:col>
      <xdr:colOff>32523</xdr:colOff>
      <xdr:row>70</xdr:row>
      <xdr:rowOff>125452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BB0943-FDA3-4A05-A38B-0F4FC2910BE6}"/>
            </a:ext>
          </a:extLst>
        </xdr:cNvPr>
        <xdr:cNvCxnSpPr/>
      </xdr:nvCxnSpPr>
      <xdr:spPr>
        <a:xfrm>
          <a:off x="10449621" y="0"/>
          <a:ext cx="0" cy="108585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36DC3BB-F43E-4E5A-A506-DB6F21C9D457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0" dT="2026-03-29T12:55:11.04" personId="{436DC3BB-F43E-4E5A-A506-DB6F21C9D457}" id="{679F8F37-EAFB-4A83-A0B8-82580466F48F}">
    <text>19.1m guidance Q425 call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E712-1B47-42A3-A902-777D3000824F}">
  <dimension ref="B2:K26"/>
  <sheetViews>
    <sheetView tabSelected="1" zoomScale="175" zoomScaleNormal="175" workbookViewId="0">
      <selection activeCell="J4" sqref="J4"/>
    </sheetView>
  </sheetViews>
  <sheetFormatPr defaultRowHeight="12.5" x14ac:dyDescent="0.25"/>
  <sheetData>
    <row r="2" spans="2:11" x14ac:dyDescent="0.25">
      <c r="I2" t="s">
        <v>0</v>
      </c>
      <c r="J2" s="1">
        <v>315</v>
      </c>
    </row>
    <row r="3" spans="2:11" x14ac:dyDescent="0.25">
      <c r="B3" t="s">
        <v>52</v>
      </c>
      <c r="I3" t="s">
        <v>1</v>
      </c>
      <c r="J3" s="2">
        <v>4888</v>
      </c>
      <c r="K3" s="3" t="s">
        <v>87</v>
      </c>
    </row>
    <row r="4" spans="2:11" ht="13" x14ac:dyDescent="0.3">
      <c r="B4" t="s">
        <v>53</v>
      </c>
      <c r="I4" s="4" t="s">
        <v>2</v>
      </c>
      <c r="J4" s="5">
        <f>+J2*J3</f>
        <v>1539720</v>
      </c>
    </row>
    <row r="5" spans="2:11" x14ac:dyDescent="0.25">
      <c r="B5" t="s">
        <v>54</v>
      </c>
      <c r="I5" t="s">
        <v>3</v>
      </c>
      <c r="J5" s="2">
        <v>14174</v>
      </c>
      <c r="K5" s="3" t="s">
        <v>87</v>
      </c>
    </row>
    <row r="6" spans="2:11" x14ac:dyDescent="0.25">
      <c r="B6" t="s">
        <v>55</v>
      </c>
      <c r="I6" t="s">
        <v>4</v>
      </c>
      <c r="J6" s="2">
        <v>66057</v>
      </c>
      <c r="K6" s="3" t="s">
        <v>87</v>
      </c>
    </row>
    <row r="7" spans="2:11" x14ac:dyDescent="0.25">
      <c r="B7" t="s">
        <v>56</v>
      </c>
      <c r="I7" t="s">
        <v>5</v>
      </c>
      <c r="J7" s="2">
        <f>+J4-J5+J6</f>
        <v>1591603</v>
      </c>
    </row>
    <row r="8" spans="2:11" x14ac:dyDescent="0.25">
      <c r="B8" t="s">
        <v>57</v>
      </c>
    </row>
    <row r="9" spans="2:11" x14ac:dyDescent="0.25">
      <c r="B9" t="s">
        <v>58</v>
      </c>
      <c r="C9" t="s">
        <v>99</v>
      </c>
    </row>
    <row r="11" spans="2:11" x14ac:dyDescent="0.25">
      <c r="B11" t="s">
        <v>59</v>
      </c>
    </row>
    <row r="12" spans="2:11" x14ac:dyDescent="0.25">
      <c r="B12" t="s">
        <v>63</v>
      </c>
    </row>
    <row r="13" spans="2:11" x14ac:dyDescent="0.25">
      <c r="B13" t="s">
        <v>60</v>
      </c>
    </row>
    <row r="14" spans="2:11" x14ac:dyDescent="0.25">
      <c r="B14" t="s">
        <v>61</v>
      </c>
      <c r="I14" t="s">
        <v>65</v>
      </c>
    </row>
    <row r="15" spans="2:11" x14ac:dyDescent="0.25">
      <c r="I15" t="s">
        <v>62</v>
      </c>
    </row>
    <row r="16" spans="2:11" x14ac:dyDescent="0.25">
      <c r="B16" t="s">
        <v>66</v>
      </c>
    </row>
    <row r="17" spans="2:3" x14ac:dyDescent="0.25">
      <c r="B17" t="s">
        <v>75</v>
      </c>
    </row>
    <row r="20" spans="2:3" ht="13" x14ac:dyDescent="0.3">
      <c r="C20" s="15" t="s">
        <v>92</v>
      </c>
    </row>
    <row r="21" spans="2:3" x14ac:dyDescent="0.25">
      <c r="C21" t="s">
        <v>93</v>
      </c>
    </row>
    <row r="22" spans="2:3" x14ac:dyDescent="0.25">
      <c r="C22" t="s">
        <v>94</v>
      </c>
    </row>
    <row r="23" spans="2:3" x14ac:dyDescent="0.25">
      <c r="C23" t="s">
        <v>95</v>
      </c>
    </row>
    <row r="24" spans="2:3" x14ac:dyDescent="0.25">
      <c r="C24" t="s">
        <v>96</v>
      </c>
    </row>
    <row r="25" spans="2:3" x14ac:dyDescent="0.25">
      <c r="C25" t="s">
        <v>97</v>
      </c>
    </row>
    <row r="26" spans="2:3" x14ac:dyDescent="0.25">
      <c r="C26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0775-30FD-4D74-BE40-C6F63DB74CF0}">
  <dimension ref="A1:AB72"/>
  <sheetViews>
    <sheetView zoomScale="160" zoomScaleNormal="160" workbookViewId="0">
      <pane xSplit="2" ySplit="3" topLeftCell="H9" activePane="bottomRight" state="frozen"/>
      <selection pane="topRight" activeCell="C1" sqref="C1"/>
      <selection pane="bottomLeft" activeCell="A4" sqref="A4"/>
      <selection pane="bottomRight" activeCell="P11" sqref="P11"/>
    </sheetView>
  </sheetViews>
  <sheetFormatPr defaultRowHeight="12.5" x14ac:dyDescent="0.25"/>
  <cols>
    <col min="1" max="1" width="5" bestFit="1" customWidth="1"/>
    <col min="2" max="2" width="18.1796875" bestFit="1" customWidth="1"/>
    <col min="3" max="19" width="8.26953125" style="3" customWidth="1"/>
    <col min="20" max="20" width="9.1796875" style="3"/>
    <col min="21" max="23" width="8.7265625" style="3"/>
    <col min="24" max="24" width="9.1796875" style="3"/>
    <col min="25" max="26" width="10.26953125" style="3" bestFit="1" customWidth="1"/>
    <col min="27" max="28" width="9.1796875" style="3"/>
  </cols>
  <sheetData>
    <row r="1" spans="1:28" x14ac:dyDescent="0.25">
      <c r="A1" s="6" t="s">
        <v>6</v>
      </c>
    </row>
    <row r="2" spans="1:28" x14ac:dyDescent="0.25">
      <c r="C2" s="3" t="s">
        <v>51</v>
      </c>
      <c r="D2" s="3" t="s">
        <v>49</v>
      </c>
      <c r="E2" s="3" t="s">
        <v>50</v>
      </c>
      <c r="F2" s="3" t="s">
        <v>11</v>
      </c>
      <c r="G2" s="3" t="s">
        <v>10</v>
      </c>
      <c r="H2" s="3" t="s">
        <v>9</v>
      </c>
      <c r="I2" s="3" t="s">
        <v>8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80</v>
      </c>
      <c r="O2" s="3" t="s">
        <v>81</v>
      </c>
      <c r="P2" s="3" t="s">
        <v>88</v>
      </c>
      <c r="Q2" s="3" t="s">
        <v>89</v>
      </c>
      <c r="R2" s="3" t="s">
        <v>90</v>
      </c>
      <c r="S2" s="3" t="s">
        <v>91</v>
      </c>
      <c r="V2" s="3" t="s">
        <v>85</v>
      </c>
      <c r="W2" s="3" t="s">
        <v>84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</row>
    <row r="3" spans="1:28" s="13" customFormat="1" x14ac:dyDescent="0.25">
      <c r="B3" s="13" t="s">
        <v>19</v>
      </c>
      <c r="C3" s="14">
        <v>44864</v>
      </c>
      <c r="D3" s="14">
        <v>44955</v>
      </c>
      <c r="E3" s="14">
        <v>45046</v>
      </c>
      <c r="F3" s="14">
        <v>45137</v>
      </c>
      <c r="G3" s="14">
        <v>45228</v>
      </c>
      <c r="H3" s="14">
        <v>45326</v>
      </c>
      <c r="I3" s="14">
        <v>45417</v>
      </c>
      <c r="J3" s="14">
        <v>45508</v>
      </c>
      <c r="K3" s="14">
        <f>+G3+365</f>
        <v>45593</v>
      </c>
      <c r="L3" s="14">
        <f>+H3+365</f>
        <v>45691</v>
      </c>
      <c r="M3" s="14">
        <v>45781</v>
      </c>
      <c r="N3" s="14">
        <v>45872</v>
      </c>
      <c r="O3" s="14">
        <f>+K3+365</f>
        <v>45958</v>
      </c>
      <c r="P3" s="14">
        <f>+L3+365</f>
        <v>46056</v>
      </c>
      <c r="Q3" s="14">
        <f>+M3+365</f>
        <v>46146</v>
      </c>
      <c r="R3" s="14">
        <f>+N3+365</f>
        <v>46237</v>
      </c>
      <c r="S3" s="14">
        <f>+O3+365</f>
        <v>46323</v>
      </c>
      <c r="T3" s="14"/>
      <c r="U3" s="14"/>
      <c r="V3" s="14"/>
      <c r="W3" s="14"/>
      <c r="X3" s="14"/>
      <c r="Y3" s="14">
        <v>44864</v>
      </c>
      <c r="Z3" s="14">
        <v>45228</v>
      </c>
      <c r="AA3" s="14"/>
      <c r="AB3" s="14"/>
    </row>
    <row r="4" spans="1:28" x14ac:dyDescent="0.25">
      <c r="B4" t="s">
        <v>100</v>
      </c>
      <c r="C4" s="7"/>
      <c r="D4" s="7"/>
      <c r="E4" s="7"/>
      <c r="F4" s="7"/>
      <c r="G4" s="7"/>
      <c r="H4" s="7"/>
      <c r="I4" s="7"/>
      <c r="K4" s="8"/>
      <c r="L4" s="8"/>
      <c r="M4" s="8"/>
      <c r="N4" s="8"/>
      <c r="O4" s="8"/>
      <c r="P4" s="8">
        <v>8400</v>
      </c>
      <c r="Q4" s="8">
        <v>10700</v>
      </c>
      <c r="Y4" s="7"/>
      <c r="Z4" s="7"/>
    </row>
    <row r="5" spans="1:28" x14ac:dyDescent="0.25">
      <c r="C5" s="7"/>
      <c r="D5" s="7"/>
      <c r="E5" s="7"/>
      <c r="F5" s="7"/>
      <c r="G5" s="7"/>
      <c r="H5" s="7"/>
      <c r="I5" s="7"/>
      <c r="K5" s="8"/>
      <c r="L5" s="8"/>
      <c r="M5" s="8"/>
      <c r="N5" s="8"/>
      <c r="O5" s="8"/>
      <c r="P5" s="8"/>
      <c r="Y5" s="7"/>
      <c r="Z5" s="7"/>
    </row>
    <row r="6" spans="1:28" x14ac:dyDescent="0.25">
      <c r="B6" t="s">
        <v>82</v>
      </c>
      <c r="C6" s="7"/>
      <c r="D6" s="7"/>
      <c r="E6" s="7"/>
      <c r="F6" s="8">
        <v>6941</v>
      </c>
      <c r="G6" s="7"/>
      <c r="H6" s="7"/>
      <c r="I6" s="7"/>
      <c r="J6" s="8">
        <v>7274</v>
      </c>
      <c r="K6" s="8">
        <f>+J6+100</f>
        <v>7374</v>
      </c>
      <c r="L6" s="8">
        <v>8212</v>
      </c>
      <c r="M6" s="8"/>
      <c r="N6" s="8"/>
      <c r="O6" s="8">
        <v>11072</v>
      </c>
      <c r="P6" s="8">
        <v>12515</v>
      </c>
      <c r="Y6" s="7"/>
      <c r="Z6" s="7"/>
    </row>
    <row r="7" spans="1:28" x14ac:dyDescent="0.25">
      <c r="B7" t="s">
        <v>83</v>
      </c>
      <c r="C7" s="7"/>
      <c r="D7" s="7"/>
      <c r="E7" s="7"/>
      <c r="F7" s="8">
        <v>1935</v>
      </c>
      <c r="G7" s="7"/>
      <c r="H7" s="7"/>
      <c r="I7" s="7"/>
      <c r="J7" s="8">
        <v>5798</v>
      </c>
      <c r="K7" s="8">
        <f>+J7+100</f>
        <v>5898</v>
      </c>
      <c r="L7" s="8">
        <v>6704</v>
      </c>
      <c r="M7" s="8"/>
      <c r="N7" s="8"/>
      <c r="O7" s="8">
        <v>6943</v>
      </c>
      <c r="P7" s="8">
        <v>6796</v>
      </c>
      <c r="Y7" s="7"/>
      <c r="Z7" s="7"/>
    </row>
    <row r="8" spans="1:28" x14ac:dyDescent="0.25">
      <c r="B8" t="s">
        <v>72</v>
      </c>
      <c r="C8" s="7"/>
      <c r="D8" s="7"/>
      <c r="E8" s="7"/>
      <c r="F8" s="7"/>
      <c r="G8" s="7"/>
      <c r="H8" s="7"/>
      <c r="I8" s="7"/>
      <c r="J8" s="8">
        <v>7439</v>
      </c>
      <c r="K8" s="8">
        <f>+J8+500</f>
        <v>7939</v>
      </c>
      <c r="L8" s="8">
        <v>10143</v>
      </c>
      <c r="M8" s="8"/>
      <c r="N8" s="8"/>
      <c r="O8" s="8"/>
      <c r="P8" s="8">
        <v>14130</v>
      </c>
      <c r="X8" s="8">
        <v>20886</v>
      </c>
      <c r="Y8" s="8">
        <v>26277</v>
      </c>
      <c r="Z8" s="8">
        <v>27891</v>
      </c>
      <c r="AA8" s="8"/>
    </row>
    <row r="9" spans="1:28" x14ac:dyDescent="0.25">
      <c r="B9" t="s">
        <v>73</v>
      </c>
      <c r="C9" s="7"/>
      <c r="D9" s="7"/>
      <c r="E9" s="7"/>
      <c r="F9" s="7"/>
      <c r="G9" s="7"/>
      <c r="H9" s="7"/>
      <c r="I9" s="7"/>
      <c r="J9" s="8">
        <v>5633</v>
      </c>
      <c r="K9" s="8">
        <f>+J9+500</f>
        <v>6133</v>
      </c>
      <c r="L9" s="8">
        <v>4773</v>
      </c>
      <c r="M9" s="8"/>
      <c r="N9" s="8"/>
      <c r="O9" s="8"/>
      <c r="P9" s="8">
        <v>5181</v>
      </c>
      <c r="X9" s="8">
        <v>6564</v>
      </c>
      <c r="Y9" s="8">
        <v>6926</v>
      </c>
      <c r="Z9" s="8">
        <v>7928</v>
      </c>
      <c r="AA9" s="8"/>
    </row>
    <row r="10" spans="1:28" s="4" customFormat="1" ht="13" x14ac:dyDescent="0.3">
      <c r="B10" s="4" t="s">
        <v>7</v>
      </c>
      <c r="C10" s="10">
        <v>8930</v>
      </c>
      <c r="D10" s="10">
        <v>8915</v>
      </c>
      <c r="E10" s="10">
        <v>8733</v>
      </c>
      <c r="F10" s="10">
        <v>8876</v>
      </c>
      <c r="G10" s="10">
        <v>9295</v>
      </c>
      <c r="H10" s="10">
        <v>11961</v>
      </c>
      <c r="I10" s="10">
        <v>12487</v>
      </c>
      <c r="J10" s="10">
        <f>+J8+J9</f>
        <v>13072</v>
      </c>
      <c r="K10" s="10">
        <v>14054</v>
      </c>
      <c r="L10" s="10">
        <v>14916</v>
      </c>
      <c r="M10" s="10">
        <v>15004</v>
      </c>
      <c r="N10" s="10">
        <v>15952</v>
      </c>
      <c r="O10" s="10">
        <v>18015</v>
      </c>
      <c r="P10" s="10">
        <f>+P8+P9</f>
        <v>19311</v>
      </c>
      <c r="Q10" s="10">
        <v>22000</v>
      </c>
      <c r="R10" s="12"/>
      <c r="S10" s="12"/>
      <c r="T10" s="12"/>
      <c r="U10" s="12"/>
      <c r="V10" s="12"/>
      <c r="W10" s="12"/>
      <c r="X10" s="10">
        <f>+X8+X9</f>
        <v>27450</v>
      </c>
      <c r="Y10" s="10">
        <f>+Y8+Y9</f>
        <v>33203</v>
      </c>
      <c r="Z10" s="10">
        <f>SUM(D10:G10)</f>
        <v>35819</v>
      </c>
      <c r="AA10" s="10">
        <v>45000</v>
      </c>
      <c r="AB10" s="12"/>
    </row>
    <row r="11" spans="1:28" x14ac:dyDescent="0.25">
      <c r="B11" t="s">
        <v>13</v>
      </c>
      <c r="C11" s="8">
        <v>2298</v>
      </c>
      <c r="D11" s="8">
        <v>2374</v>
      </c>
      <c r="E11" s="8">
        <v>2177</v>
      </c>
      <c r="F11" s="8">
        <v>2272</v>
      </c>
      <c r="G11" s="8">
        <v>2449</v>
      </c>
      <c r="H11" s="8">
        <v>3114</v>
      </c>
      <c r="I11" s="8">
        <v>3142</v>
      </c>
      <c r="J11" s="8">
        <f>2434+699</f>
        <v>3133</v>
      </c>
      <c r="K11" s="8">
        <v>3399</v>
      </c>
      <c r="L11" s="8">
        <v>3273</v>
      </c>
      <c r="M11" s="8">
        <v>3296</v>
      </c>
      <c r="N11" s="8">
        <v>3704</v>
      </c>
      <c r="O11" s="8">
        <v>4213</v>
      </c>
      <c r="P11" s="8">
        <f>4041+638</f>
        <v>4679</v>
      </c>
      <c r="X11" s="8">
        <v>6555</v>
      </c>
      <c r="Y11" s="8">
        <v>7629</v>
      </c>
      <c r="Z11" s="8">
        <f>SUM(D11:G11)</f>
        <v>9272</v>
      </c>
      <c r="AA11" s="8">
        <f>+AA10*0.25</f>
        <v>11250</v>
      </c>
    </row>
    <row r="12" spans="1:28" s="2" customFormat="1" x14ac:dyDescent="0.25">
      <c r="B12" s="2" t="s">
        <v>14</v>
      </c>
      <c r="C12" s="8">
        <f t="shared" ref="C12:J12" si="0">+C10-C11</f>
        <v>6632</v>
      </c>
      <c r="D12" s="8">
        <f t="shared" si="0"/>
        <v>6541</v>
      </c>
      <c r="E12" s="8">
        <f t="shared" si="0"/>
        <v>6556</v>
      </c>
      <c r="F12" s="8">
        <f t="shared" si="0"/>
        <v>6604</v>
      </c>
      <c r="G12" s="8">
        <f t="shared" si="0"/>
        <v>6846</v>
      </c>
      <c r="H12" s="8">
        <f t="shared" si="0"/>
        <v>8847</v>
      </c>
      <c r="I12" s="8">
        <f t="shared" si="0"/>
        <v>9345</v>
      </c>
      <c r="J12" s="8">
        <f t="shared" si="0"/>
        <v>9939</v>
      </c>
      <c r="K12" s="8">
        <f>+K10-K11</f>
        <v>10655</v>
      </c>
      <c r="L12" s="8">
        <f>+L10-L11</f>
        <v>11643</v>
      </c>
      <c r="M12" s="8">
        <f t="shared" ref="M12" si="1">+M10-M11</f>
        <v>11708</v>
      </c>
      <c r="N12" s="8">
        <f>+N10-N11</f>
        <v>12248</v>
      </c>
      <c r="O12" s="8">
        <f>+O10-O11</f>
        <v>13802</v>
      </c>
      <c r="P12" s="8">
        <f>+P10-P11</f>
        <v>14632</v>
      </c>
      <c r="Q12" s="8"/>
      <c r="R12" s="8"/>
      <c r="S12" s="8"/>
      <c r="T12" s="8"/>
      <c r="U12" s="8"/>
      <c r="V12" s="8"/>
      <c r="W12" s="8"/>
      <c r="X12" s="8">
        <f>+X10-X11</f>
        <v>20895</v>
      </c>
      <c r="Y12" s="8">
        <f>+Y10-Y11</f>
        <v>25574</v>
      </c>
      <c r="Z12" s="8">
        <f>+Z10-Z11</f>
        <v>26547</v>
      </c>
      <c r="AA12" s="8">
        <f>+AA10-AA11</f>
        <v>33750</v>
      </c>
      <c r="AB12" s="8"/>
    </row>
    <row r="13" spans="1:28" x14ac:dyDescent="0.25">
      <c r="B13" t="s">
        <v>16</v>
      </c>
      <c r="C13" s="8">
        <v>1197</v>
      </c>
      <c r="D13" s="8">
        <v>1195</v>
      </c>
      <c r="E13" s="8">
        <v>1312</v>
      </c>
      <c r="F13" s="8">
        <v>1358</v>
      </c>
      <c r="G13" s="8">
        <v>1388</v>
      </c>
      <c r="H13" s="8">
        <v>2308</v>
      </c>
      <c r="I13" s="8">
        <v>2415</v>
      </c>
      <c r="J13" s="8">
        <v>2353</v>
      </c>
      <c r="K13" s="8">
        <v>2234</v>
      </c>
      <c r="L13" s="8">
        <v>2253</v>
      </c>
      <c r="M13" s="8">
        <v>2693</v>
      </c>
      <c r="N13" s="8">
        <v>3050</v>
      </c>
      <c r="O13" s="8">
        <v>2981</v>
      </c>
      <c r="P13" s="8">
        <v>2965</v>
      </c>
      <c r="X13" s="8">
        <v>4854</v>
      </c>
      <c r="Y13" s="8">
        <v>4919</v>
      </c>
      <c r="Z13" s="8">
        <f>SUM(D13:G13)</f>
        <v>5253</v>
      </c>
      <c r="AA13" s="8">
        <f>+Z13*1.1</f>
        <v>5778.3</v>
      </c>
    </row>
    <row r="14" spans="1:28" x14ac:dyDescent="0.25">
      <c r="B14" t="s">
        <v>17</v>
      </c>
      <c r="C14" s="8">
        <v>370</v>
      </c>
      <c r="D14" s="8">
        <v>348</v>
      </c>
      <c r="E14" s="8">
        <v>438</v>
      </c>
      <c r="F14" s="8">
        <v>388</v>
      </c>
      <c r="G14" s="8">
        <v>418</v>
      </c>
      <c r="H14" s="8">
        <v>1572</v>
      </c>
      <c r="I14" s="8">
        <v>1277</v>
      </c>
      <c r="J14" s="8">
        <v>1100</v>
      </c>
      <c r="K14" s="8">
        <v>1010</v>
      </c>
      <c r="L14" s="8">
        <v>949</v>
      </c>
      <c r="M14" s="8">
        <v>1083</v>
      </c>
      <c r="N14" s="8">
        <v>1072</v>
      </c>
      <c r="O14" s="8">
        <v>1107</v>
      </c>
      <c r="P14" s="8">
        <v>1019</v>
      </c>
      <c r="X14" s="8">
        <v>1347</v>
      </c>
      <c r="Y14" s="8">
        <v>1382</v>
      </c>
      <c r="Z14" s="8">
        <f>SUM(D14:G14)</f>
        <v>1592</v>
      </c>
      <c r="AA14" s="8">
        <f>+Z14*1.1</f>
        <v>1751.2</v>
      </c>
    </row>
    <row r="15" spans="1:28" x14ac:dyDescent="0.25">
      <c r="B15" t="s">
        <v>18</v>
      </c>
      <c r="C15" s="8">
        <f t="shared" ref="C15:L15" si="2">+C13+C14</f>
        <v>1567</v>
      </c>
      <c r="D15" s="8">
        <f t="shared" si="2"/>
        <v>1543</v>
      </c>
      <c r="E15" s="8">
        <f t="shared" si="2"/>
        <v>1750</v>
      </c>
      <c r="F15" s="8">
        <f t="shared" si="2"/>
        <v>1746</v>
      </c>
      <c r="G15" s="8">
        <f t="shared" si="2"/>
        <v>1806</v>
      </c>
      <c r="H15" s="8">
        <f t="shared" si="2"/>
        <v>3880</v>
      </c>
      <c r="I15" s="8">
        <f t="shared" si="2"/>
        <v>3692</v>
      </c>
      <c r="J15" s="8">
        <f t="shared" si="2"/>
        <v>3453</v>
      </c>
      <c r="K15" s="8">
        <f t="shared" si="2"/>
        <v>3244</v>
      </c>
      <c r="L15" s="8">
        <f t="shared" si="2"/>
        <v>3202</v>
      </c>
      <c r="M15" s="8">
        <f t="shared" ref="M15" si="3">+M13+M14</f>
        <v>3776</v>
      </c>
      <c r="N15" s="8">
        <f t="shared" ref="N15:P15" si="4">+N13+N14</f>
        <v>4122</v>
      </c>
      <c r="O15" s="8">
        <f t="shared" si="4"/>
        <v>4088</v>
      </c>
      <c r="P15" s="8">
        <f t="shared" si="4"/>
        <v>3984</v>
      </c>
      <c r="X15" s="8">
        <f t="shared" ref="X15:Y15" si="5">+X14+X13</f>
        <v>6201</v>
      </c>
      <c r="Y15" s="8">
        <f t="shared" si="5"/>
        <v>6301</v>
      </c>
      <c r="Z15" s="8">
        <f>+Z14+Z13</f>
        <v>6845</v>
      </c>
      <c r="AA15" s="8">
        <f>+AA14+AA13</f>
        <v>7529.5</v>
      </c>
    </row>
    <row r="16" spans="1:28" x14ac:dyDescent="0.25">
      <c r="B16" t="s">
        <v>20</v>
      </c>
      <c r="C16" s="8">
        <f t="shared" ref="C16:L16" si="6">+C12-C15</f>
        <v>5065</v>
      </c>
      <c r="D16" s="8">
        <f t="shared" si="6"/>
        <v>4998</v>
      </c>
      <c r="E16" s="8">
        <f t="shared" si="6"/>
        <v>4806</v>
      </c>
      <c r="F16" s="8">
        <f t="shared" si="6"/>
        <v>4858</v>
      </c>
      <c r="G16" s="8">
        <f t="shared" si="6"/>
        <v>5040</v>
      </c>
      <c r="H16" s="8">
        <f t="shared" si="6"/>
        <v>4967</v>
      </c>
      <c r="I16" s="8">
        <f t="shared" si="6"/>
        <v>5653</v>
      </c>
      <c r="J16" s="8">
        <f t="shared" si="6"/>
        <v>6486</v>
      </c>
      <c r="K16" s="8">
        <f t="shared" si="6"/>
        <v>7411</v>
      </c>
      <c r="L16" s="8">
        <f t="shared" si="6"/>
        <v>8441</v>
      </c>
      <c r="M16" s="8">
        <f t="shared" ref="M16" si="7">+M12-M15</f>
        <v>7932</v>
      </c>
      <c r="N16" s="8">
        <f t="shared" ref="N16:P16" si="8">+N12-N15</f>
        <v>8126</v>
      </c>
      <c r="O16" s="8">
        <f t="shared" si="8"/>
        <v>9714</v>
      </c>
      <c r="P16" s="8">
        <f t="shared" si="8"/>
        <v>10648</v>
      </c>
      <c r="X16" s="8">
        <f t="shared" ref="X16:Y16" si="9">+X12-X15</f>
        <v>14694</v>
      </c>
      <c r="Y16" s="8">
        <f t="shared" si="9"/>
        <v>19273</v>
      </c>
      <c r="Z16" s="8">
        <f>+Z12-Z15</f>
        <v>19702</v>
      </c>
      <c r="AA16" s="8">
        <f>+AA12-AA15</f>
        <v>26220.5</v>
      </c>
    </row>
    <row r="17" spans="2:28" x14ac:dyDescent="0.25">
      <c r="B17" t="s">
        <v>22</v>
      </c>
      <c r="C17" s="8">
        <f>-406+40</f>
        <v>-366</v>
      </c>
      <c r="D17" s="8">
        <f>-406-143</f>
        <v>-549</v>
      </c>
      <c r="E17" s="8">
        <f>-405+113</f>
        <v>-292</v>
      </c>
      <c r="F17" s="8">
        <f>-406+124</f>
        <v>-282</v>
      </c>
      <c r="G17" s="8">
        <f>-405+132</f>
        <v>-273</v>
      </c>
      <c r="H17" s="8">
        <f>-926+185</f>
        <v>-741</v>
      </c>
      <c r="I17" s="8">
        <f>-1047+87</f>
        <v>-960</v>
      </c>
      <c r="J17" s="8">
        <f>-1064+82</f>
        <v>-982</v>
      </c>
      <c r="K17" s="8">
        <f>-916+52</f>
        <v>-864</v>
      </c>
      <c r="L17" s="3">
        <f>-873+103</f>
        <v>-770</v>
      </c>
      <c r="M17" s="3">
        <f>-769+25</f>
        <v>-744</v>
      </c>
      <c r="N17" s="8">
        <f>-807+205</f>
        <v>-602</v>
      </c>
      <c r="O17" s="8">
        <f>-761+122</f>
        <v>-639</v>
      </c>
      <c r="P17" s="8">
        <v>-801</v>
      </c>
      <c r="X17" s="8">
        <f>-1885+131</f>
        <v>-1754</v>
      </c>
      <c r="Y17" s="8">
        <f>-1737-54</f>
        <v>-1791</v>
      </c>
      <c r="Z17" s="8">
        <f>SUM(D17:G17)</f>
        <v>-1396</v>
      </c>
      <c r="AA17" s="8">
        <f>+Z17</f>
        <v>-1396</v>
      </c>
    </row>
    <row r="18" spans="2:28" x14ac:dyDescent="0.25">
      <c r="B18" t="s">
        <v>23</v>
      </c>
      <c r="C18" s="8">
        <f t="shared" ref="C18:L18" si="10">+C16+C17</f>
        <v>4699</v>
      </c>
      <c r="D18" s="8">
        <f t="shared" si="10"/>
        <v>4449</v>
      </c>
      <c r="E18" s="8">
        <f t="shared" si="10"/>
        <v>4514</v>
      </c>
      <c r="F18" s="8">
        <f t="shared" si="10"/>
        <v>4576</v>
      </c>
      <c r="G18" s="8">
        <f t="shared" si="10"/>
        <v>4767</v>
      </c>
      <c r="H18" s="8">
        <f t="shared" si="10"/>
        <v>4226</v>
      </c>
      <c r="I18" s="8">
        <f t="shared" si="10"/>
        <v>4693</v>
      </c>
      <c r="J18" s="8">
        <f t="shared" si="10"/>
        <v>5504</v>
      </c>
      <c r="K18" s="8">
        <f t="shared" si="10"/>
        <v>6547</v>
      </c>
      <c r="L18" s="8">
        <f t="shared" si="10"/>
        <v>7671</v>
      </c>
      <c r="M18" s="8">
        <f t="shared" ref="M18" si="11">+M16+M17</f>
        <v>7188</v>
      </c>
      <c r="N18" s="8">
        <f t="shared" ref="N18:P18" si="12">+N16+N17</f>
        <v>7524</v>
      </c>
      <c r="O18" s="8">
        <f t="shared" si="12"/>
        <v>9075</v>
      </c>
      <c r="P18" s="8">
        <f t="shared" si="12"/>
        <v>9847</v>
      </c>
      <c r="X18" s="8">
        <f>+X16+X17</f>
        <v>12940</v>
      </c>
      <c r="Y18" s="8">
        <f>+Y16+Y17</f>
        <v>17482</v>
      </c>
      <c r="Z18" s="8">
        <f>+Z16+Z17</f>
        <v>18306</v>
      </c>
      <c r="AA18" s="8">
        <f>+AA16+AA17</f>
        <v>24824.5</v>
      </c>
    </row>
    <row r="19" spans="2:28" s="2" customFormat="1" x14ac:dyDescent="0.25">
      <c r="B19" s="2" t="s">
        <v>24</v>
      </c>
      <c r="C19" s="8">
        <v>261</v>
      </c>
      <c r="D19" s="8">
        <v>66</v>
      </c>
      <c r="E19" s="8">
        <v>235</v>
      </c>
      <c r="F19" s="8">
        <v>271</v>
      </c>
      <c r="G19" s="8">
        <v>443</v>
      </c>
      <c r="H19" s="8">
        <f>68+735</f>
        <v>803</v>
      </c>
      <c r="I19" s="8">
        <v>-116</v>
      </c>
      <c r="J19" s="8">
        <v>4238</v>
      </c>
      <c r="K19" s="8">
        <f>-442+1506</f>
        <v>1064</v>
      </c>
      <c r="L19" s="8">
        <f>-12+1286</f>
        <v>1274</v>
      </c>
      <c r="M19" s="8">
        <v>120</v>
      </c>
      <c r="N19" s="8">
        <v>1145</v>
      </c>
      <c r="O19" s="8">
        <v>0</v>
      </c>
      <c r="P19" s="8">
        <v>846</v>
      </c>
      <c r="Q19" s="8"/>
      <c r="R19" s="8"/>
      <c r="S19" s="8"/>
      <c r="T19" s="8"/>
      <c r="U19" s="8"/>
      <c r="V19" s="8"/>
      <c r="W19" s="8"/>
      <c r="X19" s="8">
        <f>29+299</f>
        <v>328</v>
      </c>
      <c r="Y19" s="8">
        <f>939+272</f>
        <v>1211</v>
      </c>
      <c r="Z19" s="8">
        <f>SUM(D19:G19)</f>
        <v>1015</v>
      </c>
      <c r="AA19" s="8">
        <f>+AA18*0.1</f>
        <v>2482.4500000000003</v>
      </c>
      <c r="AB19" s="8"/>
    </row>
    <row r="20" spans="2:28" ht="13" x14ac:dyDescent="0.3">
      <c r="B20" t="s">
        <v>25</v>
      </c>
      <c r="C20" s="8">
        <f t="shared" ref="C20:L20" si="13">+C18-C19</f>
        <v>4438</v>
      </c>
      <c r="D20" s="8">
        <f t="shared" si="13"/>
        <v>4383</v>
      </c>
      <c r="E20" s="8">
        <f t="shared" si="13"/>
        <v>4279</v>
      </c>
      <c r="F20" s="8">
        <f t="shared" si="13"/>
        <v>4305</v>
      </c>
      <c r="G20" s="8">
        <f t="shared" si="13"/>
        <v>4324</v>
      </c>
      <c r="H20" s="8">
        <f t="shared" si="13"/>
        <v>3423</v>
      </c>
      <c r="I20" s="8">
        <f t="shared" si="13"/>
        <v>4809</v>
      </c>
      <c r="J20" s="8">
        <f t="shared" si="13"/>
        <v>1266</v>
      </c>
      <c r="K20" s="8">
        <f t="shared" si="13"/>
        <v>5483</v>
      </c>
      <c r="L20" s="8">
        <f t="shared" si="13"/>
        <v>6397</v>
      </c>
      <c r="M20" s="8">
        <f t="shared" ref="M20" si="14">+M18-M19</f>
        <v>7068</v>
      </c>
      <c r="N20" s="8">
        <f t="shared" ref="N20:P20" si="15">+N18-N19</f>
        <v>6379</v>
      </c>
      <c r="O20" s="8">
        <f t="shared" si="15"/>
        <v>9075</v>
      </c>
      <c r="P20" s="8">
        <f t="shared" si="15"/>
        <v>9001</v>
      </c>
      <c r="X20" s="10">
        <f>+X18-X19</f>
        <v>12612</v>
      </c>
      <c r="Y20" s="10">
        <f>+Y18-Y19</f>
        <v>16271</v>
      </c>
      <c r="Z20" s="10">
        <f>+Z18-Z19</f>
        <v>17291</v>
      </c>
      <c r="AA20" s="10">
        <f>+AA18-AA19</f>
        <v>22342.05</v>
      </c>
    </row>
    <row r="21" spans="2:28" x14ac:dyDescent="0.25">
      <c r="B21" t="s">
        <v>74</v>
      </c>
      <c r="C21" s="11">
        <f t="shared" ref="C21:L21" si="16">+C20/C22</f>
        <v>1.0344988344988344</v>
      </c>
      <c r="D21" s="11">
        <f t="shared" si="16"/>
        <v>1.0216783216783216</v>
      </c>
      <c r="E21" s="11">
        <f t="shared" si="16"/>
        <v>1.0021077283372366</v>
      </c>
      <c r="F21" s="11">
        <f t="shared" si="16"/>
        <v>1.0081967213114753</v>
      </c>
      <c r="G21" s="11">
        <f t="shared" si="16"/>
        <v>1.0126463700234192</v>
      </c>
      <c r="H21" s="11">
        <f t="shared" si="16"/>
        <v>0.73297644539614559</v>
      </c>
      <c r="I21" s="11">
        <f t="shared" si="16"/>
        <v>1.0018750000000001</v>
      </c>
      <c r="J21" s="11">
        <f t="shared" si="16"/>
        <v>0.27149903495603689</v>
      </c>
      <c r="K21" s="11">
        <f t="shared" si="16"/>
        <v>1.1356669428334714</v>
      </c>
      <c r="L21" s="11">
        <f t="shared" si="16"/>
        <v>1.3227874276261373</v>
      </c>
      <c r="M21" s="11">
        <f t="shared" ref="M21" si="17">+M20/M22</f>
        <v>1.4645669291338583</v>
      </c>
      <c r="N21" s="11">
        <f t="shared" ref="N21:P21" si="18">+N20/N22</f>
        <v>1.312551440329218</v>
      </c>
      <c r="O21" s="11">
        <f t="shared" si="18"/>
        <v>1.8562078134587849</v>
      </c>
      <c r="P21" s="11">
        <f t="shared" si="18"/>
        <v>1.8414484451718494</v>
      </c>
      <c r="X21" s="11">
        <f>+X20/X22</f>
        <v>2.9398601398601398</v>
      </c>
      <c r="Y21" s="11">
        <f>+Y20/Y22</f>
        <v>3.8465721040189127</v>
      </c>
      <c r="Z21" s="11">
        <f>+Z20/Z22</f>
        <v>3.9567505720823797</v>
      </c>
      <c r="AA21" s="11">
        <f>+AA20/AA22</f>
        <v>4.6545937500000001</v>
      </c>
    </row>
    <row r="22" spans="2:28" x14ac:dyDescent="0.25">
      <c r="B22" t="s">
        <v>1</v>
      </c>
      <c r="C22" s="8">
        <v>4290</v>
      </c>
      <c r="D22" s="8">
        <v>4290</v>
      </c>
      <c r="E22" s="8">
        <v>4270</v>
      </c>
      <c r="F22" s="8">
        <v>4270</v>
      </c>
      <c r="G22" s="8">
        <v>4270</v>
      </c>
      <c r="H22" s="8">
        <v>4670</v>
      </c>
      <c r="I22" s="8">
        <f>480*10</f>
        <v>4800</v>
      </c>
      <c r="J22" s="8">
        <v>4663</v>
      </c>
      <c r="K22" s="8">
        <v>4828</v>
      </c>
      <c r="L22" s="8">
        <v>4836</v>
      </c>
      <c r="M22" s="8">
        <v>4826</v>
      </c>
      <c r="N22" s="8">
        <v>4860</v>
      </c>
      <c r="O22" s="8">
        <v>4889</v>
      </c>
      <c r="P22" s="8">
        <v>4888</v>
      </c>
      <c r="X22" s="8">
        <v>4290</v>
      </c>
      <c r="Y22" s="8">
        <v>4230</v>
      </c>
      <c r="Z22" s="8">
        <f>AVERAGE(E22:H22)</f>
        <v>4370</v>
      </c>
      <c r="AA22" s="8">
        <f>+I22</f>
        <v>4800</v>
      </c>
    </row>
    <row r="26" spans="2:28" x14ac:dyDescent="0.25">
      <c r="B26" t="s">
        <v>12</v>
      </c>
      <c r="G26" s="9">
        <f t="shared" ref="G26:L26" si="19">+G10/C10-1</f>
        <v>4.0873460246360516E-2</v>
      </c>
      <c r="H26" s="9">
        <f t="shared" si="19"/>
        <v>0.34167134043746494</v>
      </c>
      <c r="I26" s="9">
        <f t="shared" si="19"/>
        <v>0.42986373525707089</v>
      </c>
      <c r="J26" s="9">
        <f t="shared" si="19"/>
        <v>0.47273546642631814</v>
      </c>
      <c r="K26" s="9">
        <f t="shared" si="19"/>
        <v>0.51199569661108124</v>
      </c>
      <c r="L26" s="9">
        <f t="shared" si="19"/>
        <v>0.24705292199648854</v>
      </c>
      <c r="M26" s="9">
        <f t="shared" ref="M26" si="20">+M10/I10-1</f>
        <v>0.20156963241771453</v>
      </c>
      <c r="N26" s="9">
        <f t="shared" ref="N26:Q26" si="21">+N10/J10-1</f>
        <v>0.2203182374541004</v>
      </c>
      <c r="O26" s="9">
        <f t="shared" si="21"/>
        <v>0.2818414686210331</v>
      </c>
      <c r="P26" s="9">
        <f t="shared" si="21"/>
        <v>0.29465004022526142</v>
      </c>
      <c r="Q26" s="9">
        <f t="shared" si="21"/>
        <v>0.46627565982404695</v>
      </c>
      <c r="R26" s="9"/>
      <c r="S26" s="9"/>
      <c r="T26" s="9"/>
      <c r="U26" s="9"/>
      <c r="V26" s="9"/>
      <c r="Y26" s="9">
        <f>+Y10/X10-1</f>
        <v>0.20958105646630232</v>
      </c>
      <c r="Z26" s="9">
        <f>+Z10/Y10-1</f>
        <v>7.8788061319760239E-2</v>
      </c>
      <c r="AA26" s="9">
        <f>+AA10/Z10-1</f>
        <v>0.25631648008040431</v>
      </c>
    </row>
    <row r="27" spans="2:28" x14ac:dyDescent="0.25">
      <c r="B27" t="s">
        <v>15</v>
      </c>
      <c r="C27" s="9">
        <f t="shared" ref="C27:G27" si="22">+C12/C10</f>
        <v>0.7426651735722285</v>
      </c>
      <c r="D27" s="9">
        <f t="shared" si="22"/>
        <v>0.7337072349971957</v>
      </c>
      <c r="E27" s="9">
        <f t="shared" si="22"/>
        <v>0.75071567617084622</v>
      </c>
      <c r="F27" s="9">
        <f t="shared" si="22"/>
        <v>0.74402884182063989</v>
      </c>
      <c r="G27" s="9">
        <f t="shared" si="22"/>
        <v>0.7365250134480904</v>
      </c>
      <c r="H27" s="9">
        <f>+H12/H10</f>
        <v>0.73965387509405567</v>
      </c>
      <c r="I27" s="9">
        <f>+I12/I10</f>
        <v>0.74837831344598382</v>
      </c>
      <c r="J27" s="9">
        <f>+J12/J10</f>
        <v>0.76032741738066101</v>
      </c>
      <c r="K27" s="9">
        <f>+K12/K10</f>
        <v>0.75814714671979511</v>
      </c>
      <c r="L27" s="9">
        <f>+L12/L10</f>
        <v>0.78057119871279168</v>
      </c>
      <c r="M27" s="9">
        <f t="shared" ref="M27:P27" si="23">+M12/M10</f>
        <v>0.78032524660090641</v>
      </c>
      <c r="N27" s="9">
        <f t="shared" si="23"/>
        <v>0.7678034102306921</v>
      </c>
      <c r="O27" s="9">
        <f t="shared" si="23"/>
        <v>0.76613932833749654</v>
      </c>
      <c r="P27" s="9">
        <f t="shared" si="23"/>
        <v>0.75770286365284034</v>
      </c>
      <c r="X27" s="9">
        <f>+X12/X10</f>
        <v>0.76120218579234977</v>
      </c>
      <c r="Y27" s="9">
        <f>+Y12/Y10</f>
        <v>0.77023160557780923</v>
      </c>
      <c r="Z27" s="9">
        <f>+Z12/Z10</f>
        <v>0.74114296881543318</v>
      </c>
      <c r="AA27" s="9">
        <f>+AA12/AA10</f>
        <v>0.75</v>
      </c>
    </row>
    <row r="28" spans="2:28" x14ac:dyDescent="0.25">
      <c r="B28" t="s">
        <v>21</v>
      </c>
      <c r="C28" s="9">
        <f t="shared" ref="C28:G28" si="24">+C16/C10</f>
        <v>0.56718924972004481</v>
      </c>
      <c r="D28" s="9">
        <f t="shared" si="24"/>
        <v>0.56062815479528882</v>
      </c>
      <c r="E28" s="9">
        <f t="shared" si="24"/>
        <v>0.55032634833390592</v>
      </c>
      <c r="F28" s="9">
        <f t="shared" si="24"/>
        <v>0.54731861198738174</v>
      </c>
      <c r="G28" s="9">
        <f t="shared" si="24"/>
        <v>0.54222700376546529</v>
      </c>
      <c r="H28" s="9">
        <f>+H16/H10</f>
        <v>0.41526628208343785</v>
      </c>
      <c r="I28" s="9">
        <f>+I16/I10</f>
        <v>0.45271081925202211</v>
      </c>
      <c r="J28" s="9">
        <f>+J16/J10</f>
        <v>0.49617503059975521</v>
      </c>
      <c r="K28" s="9">
        <f>+K16/K10</f>
        <v>0.52732318201223849</v>
      </c>
      <c r="L28" s="9">
        <f>+L16/L10</f>
        <v>0.56590238669884685</v>
      </c>
      <c r="M28" s="9">
        <f t="shared" ref="M28:P28" si="25">+M16/M10</f>
        <v>0.52865902426019729</v>
      </c>
      <c r="N28" s="9">
        <f t="shared" si="25"/>
        <v>0.50940320962888663</v>
      </c>
      <c r="O28" s="9">
        <f t="shared" si="25"/>
        <v>0.53921731890091595</v>
      </c>
      <c r="P28" s="9">
        <f t="shared" si="25"/>
        <v>0.55139557765004399</v>
      </c>
      <c r="X28" s="9">
        <f>+X16/X10</f>
        <v>0.53530054644808744</v>
      </c>
      <c r="Y28" s="9">
        <f>+Y16/Y10</f>
        <v>0.58045959702436523</v>
      </c>
      <c r="Z28" s="9">
        <f>+Z16/Z10</f>
        <v>0.55004327312320278</v>
      </c>
      <c r="AA28" s="9">
        <f>+AA16/AA10</f>
        <v>0.58267777777777774</v>
      </c>
    </row>
    <row r="31" spans="2:28" x14ac:dyDescent="0.25">
      <c r="B31" t="s">
        <v>86</v>
      </c>
      <c r="L31" s="8">
        <f>+L32-L43</f>
        <v>-57272</v>
      </c>
      <c r="M31" s="8">
        <f>+M32-M43</f>
        <v>0</v>
      </c>
      <c r="N31" s="8">
        <f>+N32-N43</f>
        <v>-53511</v>
      </c>
      <c r="O31" s="8">
        <f>+O32-O43</f>
        <v>-48958</v>
      </c>
      <c r="P31" s="8">
        <f>+P32-P43</f>
        <v>-51883</v>
      </c>
    </row>
    <row r="32" spans="2:28" s="2" customFormat="1" x14ac:dyDescent="0.25">
      <c r="B32" s="2" t="s">
        <v>3</v>
      </c>
      <c r="C32" s="8"/>
      <c r="D32" s="8"/>
      <c r="E32" s="8"/>
      <c r="F32" s="8"/>
      <c r="G32" s="8"/>
      <c r="H32" s="8">
        <v>11864</v>
      </c>
      <c r="I32" s="8">
        <v>9809</v>
      </c>
      <c r="J32" s="8">
        <v>9952</v>
      </c>
      <c r="K32" s="8"/>
      <c r="L32" s="8">
        <v>9307</v>
      </c>
      <c r="M32" s="8"/>
      <c r="N32" s="8">
        <v>10718</v>
      </c>
      <c r="O32" s="8">
        <v>16178</v>
      </c>
      <c r="P32" s="8">
        <v>14174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28" s="2" customFormat="1" x14ac:dyDescent="0.25">
      <c r="B33" s="2" t="s">
        <v>26</v>
      </c>
      <c r="C33" s="8"/>
      <c r="D33" s="8"/>
      <c r="E33" s="8"/>
      <c r="F33" s="8"/>
      <c r="G33" s="8"/>
      <c r="H33" s="8">
        <v>4969</v>
      </c>
      <c r="I33" s="8">
        <v>5500</v>
      </c>
      <c r="J33" s="8">
        <v>4665</v>
      </c>
      <c r="K33" s="8"/>
      <c r="L33" s="8">
        <v>4955</v>
      </c>
      <c r="M33" s="8"/>
      <c r="N33" s="8">
        <v>6494</v>
      </c>
      <c r="O33" s="8">
        <v>7145</v>
      </c>
      <c r="P33" s="8">
        <v>8460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28" s="2" customFormat="1" x14ac:dyDescent="0.25">
      <c r="B34" s="2" t="s">
        <v>27</v>
      </c>
      <c r="C34" s="8"/>
      <c r="D34" s="8"/>
      <c r="E34" s="8"/>
      <c r="F34" s="8"/>
      <c r="G34" s="8"/>
      <c r="H34" s="8">
        <v>1920</v>
      </c>
      <c r="I34" s="8">
        <v>1842</v>
      </c>
      <c r="J34" s="8">
        <v>1894</v>
      </c>
      <c r="K34" s="8"/>
      <c r="L34" s="8">
        <v>1908</v>
      </c>
      <c r="M34" s="8"/>
      <c r="N34" s="8">
        <v>2180</v>
      </c>
      <c r="O34" s="8">
        <v>2270</v>
      </c>
      <c r="P34" s="8">
        <v>2962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2:28" s="2" customFormat="1" x14ac:dyDescent="0.25">
      <c r="B35" s="2" t="s">
        <v>28</v>
      </c>
      <c r="C35" s="8"/>
      <c r="D35" s="8"/>
      <c r="E35" s="8"/>
      <c r="F35" s="8"/>
      <c r="G35" s="8"/>
      <c r="H35" s="8">
        <v>8439</v>
      </c>
      <c r="I35" s="8">
        <v>8151</v>
      </c>
      <c r="J35" s="8">
        <v>3436</v>
      </c>
      <c r="K35" s="8"/>
      <c r="L35" s="8">
        <v>4820</v>
      </c>
      <c r="M35" s="8"/>
      <c r="N35" s="8">
        <v>5606</v>
      </c>
      <c r="O35" s="8">
        <v>5980</v>
      </c>
      <c r="P35" s="8">
        <v>6466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2:28" s="2" customFormat="1" x14ac:dyDescent="0.25">
      <c r="B36" s="2" t="s">
        <v>29</v>
      </c>
      <c r="C36" s="8"/>
      <c r="D36" s="8"/>
      <c r="E36" s="8"/>
      <c r="F36" s="8"/>
      <c r="G36" s="8"/>
      <c r="H36" s="8">
        <v>2662</v>
      </c>
      <c r="I36" s="8">
        <v>2668</v>
      </c>
      <c r="J36" s="8">
        <v>2602</v>
      </c>
      <c r="K36" s="8"/>
      <c r="L36" s="8">
        <v>2465</v>
      </c>
      <c r="M36" s="8"/>
      <c r="N36" s="8">
        <v>2451</v>
      </c>
      <c r="O36" s="8">
        <v>2530</v>
      </c>
      <c r="P36" s="8">
        <v>2599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2:28" s="2" customFormat="1" x14ac:dyDescent="0.25">
      <c r="B37" s="2" t="s">
        <v>31</v>
      </c>
      <c r="C37" s="8"/>
      <c r="D37" s="8"/>
      <c r="E37" s="8"/>
      <c r="F37" s="8"/>
      <c r="G37" s="8"/>
      <c r="H37" s="8">
        <f>97586+47185</f>
        <v>144771</v>
      </c>
      <c r="I37" s="8">
        <f>97873+45407</f>
        <v>143280</v>
      </c>
      <c r="J37" s="8">
        <f>97873+43034</f>
        <v>140907</v>
      </c>
      <c r="K37" s="8"/>
      <c r="L37" s="8">
        <f>97871+38583</f>
        <v>136454</v>
      </c>
      <c r="M37" s="8"/>
      <c r="N37" s="8">
        <f>97801+34344</f>
        <v>132145</v>
      </c>
      <c r="O37" s="8">
        <f>97801+32273</f>
        <v>130074</v>
      </c>
      <c r="P37" s="8">
        <f>97801+30302</f>
        <v>128103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2:28" s="2" customFormat="1" x14ac:dyDescent="0.25">
      <c r="B38" s="2" t="s">
        <v>30</v>
      </c>
      <c r="C38" s="8"/>
      <c r="D38" s="8"/>
      <c r="E38" s="8"/>
      <c r="F38" s="8"/>
      <c r="G38" s="8"/>
      <c r="H38" s="8">
        <v>3245</v>
      </c>
      <c r="I38" s="8">
        <v>3961</v>
      </c>
      <c r="J38" s="8">
        <v>4510</v>
      </c>
      <c r="K38" s="8"/>
      <c r="L38" s="8">
        <v>5449</v>
      </c>
      <c r="M38" s="8"/>
      <c r="N38" s="8">
        <v>6027</v>
      </c>
      <c r="O38" s="8">
        <v>6915</v>
      </c>
      <c r="P38" s="8">
        <v>7139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2:28" s="2" customFormat="1" x14ac:dyDescent="0.25">
      <c r="B39" s="2" t="s">
        <v>32</v>
      </c>
      <c r="C39" s="8"/>
      <c r="D39" s="8"/>
      <c r="E39" s="8"/>
      <c r="F39" s="8"/>
      <c r="G39" s="8"/>
      <c r="H39" s="8">
        <f t="shared" ref="H39:P39" si="26">SUM(H32:H38)</f>
        <v>177870</v>
      </c>
      <c r="I39" s="8">
        <f t="shared" si="26"/>
        <v>175211</v>
      </c>
      <c r="J39" s="8">
        <f t="shared" si="26"/>
        <v>167966</v>
      </c>
      <c r="K39" s="8">
        <f t="shared" si="26"/>
        <v>0</v>
      </c>
      <c r="L39" s="8">
        <f t="shared" si="26"/>
        <v>165358</v>
      </c>
      <c r="M39" s="8">
        <f t="shared" si="26"/>
        <v>0</v>
      </c>
      <c r="N39" s="8">
        <f t="shared" si="26"/>
        <v>165621</v>
      </c>
      <c r="O39" s="8">
        <f t="shared" si="26"/>
        <v>171092</v>
      </c>
      <c r="P39" s="8">
        <f t="shared" si="26"/>
        <v>169903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2:28" s="2" customFormat="1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2:28" s="2" customFormat="1" x14ac:dyDescent="0.25">
      <c r="B41" s="2" t="s">
        <v>33</v>
      </c>
      <c r="C41" s="8"/>
      <c r="D41" s="8"/>
      <c r="E41" s="8"/>
      <c r="F41" s="8"/>
      <c r="G41" s="8"/>
      <c r="H41" s="8">
        <v>1496</v>
      </c>
      <c r="I41" s="8">
        <v>1441</v>
      </c>
      <c r="J41" s="8">
        <v>1757</v>
      </c>
      <c r="K41" s="8"/>
      <c r="L41" s="8">
        <v>1905</v>
      </c>
      <c r="M41" s="8"/>
      <c r="N41" s="8">
        <v>1432</v>
      </c>
      <c r="O41" s="8">
        <v>1560</v>
      </c>
      <c r="P41" s="8">
        <v>2112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2:28" s="2" customFormat="1" x14ac:dyDescent="0.25">
      <c r="B42" s="2" t="s">
        <v>34</v>
      </c>
      <c r="C42" s="8"/>
      <c r="D42" s="8"/>
      <c r="E42" s="8"/>
      <c r="F42" s="8"/>
      <c r="G42" s="8"/>
      <c r="H42" s="8">
        <v>1128</v>
      </c>
      <c r="I42" s="8">
        <v>1385</v>
      </c>
      <c r="J42" s="8">
        <v>1725</v>
      </c>
      <c r="K42" s="8"/>
      <c r="L42" s="8">
        <v>922</v>
      </c>
      <c r="M42" s="8"/>
      <c r="N42" s="8">
        <v>1719</v>
      </c>
      <c r="O42" s="8">
        <v>2129</v>
      </c>
      <c r="P42" s="8">
        <v>864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2:28" s="2" customFormat="1" x14ac:dyDescent="0.25">
      <c r="B43" s="2" t="s">
        <v>4</v>
      </c>
      <c r="C43" s="8"/>
      <c r="D43" s="8"/>
      <c r="E43" s="8"/>
      <c r="F43" s="8"/>
      <c r="G43" s="8"/>
      <c r="H43" s="8">
        <f>2433+73468</f>
        <v>75901</v>
      </c>
      <c r="I43" s="8">
        <f>2426+71590</f>
        <v>74016</v>
      </c>
      <c r="J43" s="8">
        <f>12578+66798</f>
        <v>79376</v>
      </c>
      <c r="K43" s="8"/>
      <c r="L43" s="8">
        <f>5653+60926</f>
        <v>66579</v>
      </c>
      <c r="M43" s="8"/>
      <c r="N43" s="8">
        <f>1399+62830</f>
        <v>64229</v>
      </c>
      <c r="O43" s="8">
        <f>3152+61984</f>
        <v>65136</v>
      </c>
      <c r="P43" s="8">
        <f>2252+63805</f>
        <v>66057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2:28" s="2" customFormat="1" x14ac:dyDescent="0.25">
      <c r="B44" s="2" t="s">
        <v>35</v>
      </c>
      <c r="C44" s="8"/>
      <c r="D44" s="8"/>
      <c r="E44" s="8"/>
      <c r="F44" s="8"/>
      <c r="G44" s="8"/>
      <c r="H44" s="8">
        <v>15312</v>
      </c>
      <c r="I44" s="8">
        <v>14919</v>
      </c>
      <c r="J44" s="8">
        <v>3161</v>
      </c>
      <c r="K44" s="8"/>
      <c r="L44" s="8">
        <v>12430</v>
      </c>
      <c r="M44" s="8"/>
      <c r="N44" s="8">
        <v>12154</v>
      </c>
      <c r="O44" s="8">
        <v>11673</v>
      </c>
      <c r="P44" s="8">
        <v>11631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s="2" customFormat="1" x14ac:dyDescent="0.25">
      <c r="B45" s="2" t="s">
        <v>36</v>
      </c>
      <c r="C45" s="8"/>
      <c r="D45" s="8"/>
      <c r="E45" s="8"/>
      <c r="F45" s="8"/>
      <c r="G45" s="8"/>
      <c r="H45" s="8">
        <v>13749</v>
      </c>
      <c r="I45" s="8">
        <v>13489</v>
      </c>
      <c r="J45" s="8">
        <v>16296</v>
      </c>
      <c r="K45" s="8"/>
      <c r="L45" s="8">
        <v>13733</v>
      </c>
      <c r="M45" s="8"/>
      <c r="N45" s="8">
        <v>12810</v>
      </c>
      <c r="O45" s="8">
        <v>9302</v>
      </c>
      <c r="P45" s="8">
        <v>9367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2:28" s="2" customFormat="1" x14ac:dyDescent="0.25">
      <c r="B46" s="2" t="s">
        <v>37</v>
      </c>
      <c r="C46" s="8"/>
      <c r="D46" s="8"/>
      <c r="E46" s="8"/>
      <c r="F46" s="8"/>
      <c r="G46" s="8"/>
      <c r="H46" s="8">
        <v>70284</v>
      </c>
      <c r="I46" s="8">
        <v>69961</v>
      </c>
      <c r="J46" s="8">
        <v>65651</v>
      </c>
      <c r="K46" s="8"/>
      <c r="L46" s="8">
        <v>69789</v>
      </c>
      <c r="M46" s="8"/>
      <c r="N46" s="8">
        <v>73277</v>
      </c>
      <c r="O46" s="8">
        <v>81292</v>
      </c>
      <c r="P46" s="8">
        <v>79872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2:28" s="2" customFormat="1" x14ac:dyDescent="0.25">
      <c r="B47" s="2" t="s">
        <v>38</v>
      </c>
      <c r="C47" s="8"/>
      <c r="D47" s="8"/>
      <c r="E47" s="8"/>
      <c r="F47" s="8"/>
      <c r="G47" s="8"/>
      <c r="H47" s="8">
        <f>SUM(H41:H46)</f>
        <v>177870</v>
      </c>
      <c r="I47" s="8">
        <f>SUM(I41:I46)</f>
        <v>175211</v>
      </c>
      <c r="J47" s="8">
        <f>SUM(J41:J46)</f>
        <v>167966</v>
      </c>
      <c r="K47" s="8">
        <f>SUM(K41:K46)</f>
        <v>0</v>
      </c>
      <c r="L47" s="8">
        <f>SUM(L41:L46)</f>
        <v>165358</v>
      </c>
      <c r="M47" s="8">
        <f t="shared" ref="M47:P47" si="27">SUM(M41:M46)</f>
        <v>0</v>
      </c>
      <c r="N47" s="8">
        <f t="shared" si="27"/>
        <v>165621</v>
      </c>
      <c r="O47" s="8">
        <f t="shared" si="27"/>
        <v>171092</v>
      </c>
      <c r="P47" s="8">
        <f t="shared" si="27"/>
        <v>169903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9" spans="2:26" x14ac:dyDescent="0.25">
      <c r="B49" t="s">
        <v>39</v>
      </c>
      <c r="H49" s="8">
        <f t="shared" ref="H49:P49" si="28">+H20</f>
        <v>3423</v>
      </c>
      <c r="I49" s="8">
        <f t="shared" si="28"/>
        <v>4809</v>
      </c>
      <c r="J49" s="8">
        <f t="shared" si="28"/>
        <v>1266</v>
      </c>
      <c r="K49" s="8">
        <f t="shared" si="28"/>
        <v>5483</v>
      </c>
      <c r="L49" s="8">
        <f t="shared" si="28"/>
        <v>6397</v>
      </c>
      <c r="M49" s="8">
        <f t="shared" si="28"/>
        <v>7068</v>
      </c>
      <c r="N49" s="8">
        <f t="shared" si="28"/>
        <v>6379</v>
      </c>
      <c r="O49" s="8">
        <f t="shared" si="28"/>
        <v>9075</v>
      </c>
      <c r="P49" s="8">
        <f t="shared" si="28"/>
        <v>9001</v>
      </c>
    </row>
    <row r="50" spans="2:26" x14ac:dyDescent="0.25">
      <c r="B50" t="s">
        <v>40</v>
      </c>
      <c r="H50" s="8">
        <v>1325</v>
      </c>
      <c r="I50" s="8">
        <v>2121</v>
      </c>
      <c r="J50" s="8">
        <f>1571-I50-H50</f>
        <v>-1875</v>
      </c>
      <c r="K50" s="8"/>
      <c r="L50" s="8"/>
      <c r="M50" s="8">
        <v>4965</v>
      </c>
      <c r="N50" s="8">
        <v>4140</v>
      </c>
    </row>
    <row r="51" spans="2:26" x14ac:dyDescent="0.25">
      <c r="B51" t="s">
        <v>41</v>
      </c>
      <c r="H51" s="8">
        <v>2206</v>
      </c>
      <c r="I51" s="8">
        <v>2381</v>
      </c>
      <c r="J51" s="8">
        <f>6962-I51-H51</f>
        <v>2375</v>
      </c>
      <c r="K51" s="8"/>
      <c r="L51" s="8"/>
      <c r="M51" s="8">
        <v>2024</v>
      </c>
      <c r="N51" s="8">
        <v>2060</v>
      </c>
    </row>
    <row r="52" spans="2:26" x14ac:dyDescent="0.25">
      <c r="B52" t="s">
        <v>43</v>
      </c>
      <c r="H52" s="8">
        <v>139</v>
      </c>
      <c r="I52" s="8">
        <v>149</v>
      </c>
      <c r="J52" s="8">
        <f>437-I52-H52</f>
        <v>149</v>
      </c>
      <c r="K52" s="8"/>
      <c r="L52" s="8"/>
      <c r="M52" s="8">
        <v>142</v>
      </c>
      <c r="N52" s="8">
        <v>142</v>
      </c>
    </row>
    <row r="53" spans="2:26" x14ac:dyDescent="0.25">
      <c r="B53" t="s">
        <v>42</v>
      </c>
      <c r="H53" s="8">
        <v>1582</v>
      </c>
      <c r="I53" s="8">
        <v>1457</v>
      </c>
      <c r="J53" s="8">
        <f>4427-I53-H53</f>
        <v>1388</v>
      </c>
      <c r="K53" s="8"/>
      <c r="L53" s="8"/>
      <c r="M53" s="8">
        <v>1771</v>
      </c>
      <c r="N53" s="8">
        <v>2322</v>
      </c>
    </row>
    <row r="54" spans="2:26" x14ac:dyDescent="0.25">
      <c r="B54" t="s">
        <v>46</v>
      </c>
      <c r="H54" s="8">
        <v>-294</v>
      </c>
      <c r="I54" s="8">
        <v>-511</v>
      </c>
      <c r="J54" s="8">
        <f>2833-I54-H54</f>
        <v>3638</v>
      </c>
      <c r="K54" s="8"/>
      <c r="L54" s="8"/>
      <c r="M54" s="8">
        <v>-571</v>
      </c>
      <c r="N54" s="8">
        <v>284</v>
      </c>
    </row>
    <row r="55" spans="2:26" x14ac:dyDescent="0.25">
      <c r="B55" t="s">
        <v>47</v>
      </c>
      <c r="H55" s="8">
        <v>102</v>
      </c>
      <c r="I55" s="8">
        <v>119</v>
      </c>
      <c r="J55" s="8">
        <f>336-I55-H55</f>
        <v>115</v>
      </c>
      <c r="K55" s="8"/>
      <c r="L55" s="8"/>
      <c r="M55" s="8">
        <v>94</v>
      </c>
      <c r="N55" s="8">
        <v>82</v>
      </c>
    </row>
    <row r="56" spans="2:26" x14ac:dyDescent="0.25">
      <c r="B56" t="s">
        <v>48</v>
      </c>
      <c r="H56" s="8">
        <v>38</v>
      </c>
      <c r="I56" s="8">
        <v>92</v>
      </c>
      <c r="J56" s="8">
        <f>266+105-I56-H56</f>
        <v>241</v>
      </c>
      <c r="K56" s="8"/>
      <c r="L56" s="8"/>
      <c r="M56" s="8">
        <v>40</v>
      </c>
      <c r="N56" s="8">
        <f>53-23</f>
        <v>30</v>
      </c>
    </row>
    <row r="57" spans="2:26" x14ac:dyDescent="0.25">
      <c r="B57" t="s">
        <v>45</v>
      </c>
      <c r="H57" s="8">
        <f>1756-14-74-660-2182+891</f>
        <v>-283</v>
      </c>
      <c r="I57" s="8">
        <f>-513+82-93+251-386-569</f>
        <v>-1228</v>
      </c>
      <c r="J57" s="8">
        <f>2078+16+206-118-3913-848-I57-H57</f>
        <v>-1068</v>
      </c>
      <c r="K57" s="8"/>
      <c r="L57" s="8"/>
      <c r="M57" s="8">
        <f>-590-109-613+287-55-830</f>
        <v>-1910</v>
      </c>
      <c r="N57" s="8">
        <f>-937-163+136+511-999-442</f>
        <v>-1894</v>
      </c>
    </row>
    <row r="58" spans="2:26" ht="13" x14ac:dyDescent="0.3">
      <c r="B58" t="s">
        <v>44</v>
      </c>
      <c r="H58" s="10">
        <f t="shared" ref="H58:N58" si="29">SUM(H50:H57)</f>
        <v>4815</v>
      </c>
      <c r="I58" s="10">
        <f t="shared" si="29"/>
        <v>4580</v>
      </c>
      <c r="J58" s="10">
        <f t="shared" si="29"/>
        <v>4963</v>
      </c>
      <c r="K58" s="10">
        <f t="shared" si="29"/>
        <v>0</v>
      </c>
      <c r="L58" s="10">
        <f t="shared" si="29"/>
        <v>0</v>
      </c>
      <c r="M58" s="10">
        <f t="shared" si="29"/>
        <v>6555</v>
      </c>
      <c r="N58" s="10">
        <f t="shared" si="29"/>
        <v>7166</v>
      </c>
      <c r="X58" s="10">
        <v>13764</v>
      </c>
      <c r="Y58" s="10">
        <v>16736</v>
      </c>
      <c r="Z58" s="10">
        <v>18085</v>
      </c>
    </row>
    <row r="72" spans="2:7" x14ac:dyDescent="0.25">
      <c r="B72" t="s">
        <v>64</v>
      </c>
      <c r="G72" s="3">
        <v>20000</v>
      </c>
    </row>
  </sheetData>
  <hyperlinks>
    <hyperlink ref="A1" location="Main!A1" display="Main" xr:uid="{858460FE-A70E-435C-889B-8559D29B5B85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2024-07-31T16:37:40Z</dcterms:created>
  <dcterms:modified xsi:type="dcterms:W3CDTF">2026-03-29T13:03:16Z</dcterms:modified>
</cp:coreProperties>
</file>