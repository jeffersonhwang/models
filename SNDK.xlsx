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C3DC2EBE-9983-476E-BB5B-F365F1C67BB5}" xr6:coauthVersionLast="47" xr6:coauthVersionMax="47" xr10:uidLastSave="{00000000-0000-0000-0000-000000000000}"/>
  <bookViews>
    <workbookView xWindow="12160" yWindow="3160" windowWidth="22360" windowHeight="13220" activeTab="1" xr2:uid="{3E208D6A-71F3-49F9-9F2A-FABE5E489328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13" i="2" l="1"/>
  <c r="T11" i="2"/>
  <c r="T9" i="2"/>
  <c r="T8" i="2"/>
  <c r="T5" i="2"/>
  <c r="J5" i="2"/>
  <c r="J4" i="2"/>
  <c r="T4" i="2" s="1"/>
  <c r="T3" i="2"/>
  <c r="S8" i="2"/>
  <c r="S5" i="2"/>
  <c r="R8" i="2"/>
  <c r="R9" i="2" s="1"/>
  <c r="R11" i="2" s="1"/>
  <c r="R13" i="2" s="1"/>
  <c r="R5" i="2"/>
  <c r="Q13" i="2"/>
  <c r="Q11" i="2"/>
  <c r="Q9" i="2"/>
  <c r="Q8" i="2"/>
  <c r="Q5" i="2"/>
  <c r="U2" i="2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T2" i="2"/>
  <c r="F2" i="2"/>
  <c r="J17" i="2"/>
  <c r="J2" i="2"/>
  <c r="G17" i="2"/>
  <c r="C10" i="2"/>
  <c r="G14" i="2"/>
  <c r="G10" i="2"/>
  <c r="C8" i="2"/>
  <c r="C5" i="2"/>
  <c r="I17" i="2"/>
  <c r="H17" i="2"/>
  <c r="D10" i="2"/>
  <c r="H10" i="2"/>
  <c r="D8" i="2"/>
  <c r="D5" i="2"/>
  <c r="H8" i="2"/>
  <c r="G8" i="2"/>
  <c r="F8" i="2"/>
  <c r="E8" i="2"/>
  <c r="I8" i="2"/>
  <c r="H5" i="2"/>
  <c r="G5" i="2"/>
  <c r="F5" i="2"/>
  <c r="E5" i="2"/>
  <c r="I5" i="2"/>
  <c r="I9" i="2" s="1"/>
  <c r="I11" i="2" s="1"/>
  <c r="I13" i="2" s="1"/>
  <c r="I14" i="2" s="1"/>
  <c r="L7" i="1"/>
  <c r="L4" i="1"/>
  <c r="S9" i="2" l="1"/>
  <c r="S11" i="2" s="1"/>
  <c r="S13" i="2" s="1"/>
  <c r="C9" i="2"/>
  <c r="C11" i="2" s="1"/>
  <c r="C13" i="2" s="1"/>
  <c r="C14" i="2" s="1"/>
  <c r="D9" i="2"/>
  <c r="D11" i="2" s="1"/>
  <c r="D13" i="2" s="1"/>
  <c r="D14" i="2" s="1"/>
  <c r="G9" i="2"/>
  <c r="G11" i="2" s="1"/>
  <c r="G13" i="2" s="1"/>
  <c r="F9" i="2"/>
  <c r="F11" i="2" s="1"/>
  <c r="F13" i="2" s="1"/>
  <c r="H9" i="2"/>
  <c r="H11" i="2" s="1"/>
  <c r="H13" i="2" s="1"/>
  <c r="H14" i="2" s="1"/>
  <c r="E9" i="2"/>
  <c r="E11" i="2" s="1"/>
  <c r="E13" i="2" s="1"/>
  <c r="E14" i="2" s="1"/>
</calcChain>
</file>

<file path=xl/sharedStrings.xml><?xml version="1.0" encoding="utf-8"?>
<sst xmlns="http://schemas.openxmlformats.org/spreadsheetml/2006/main" count="20" uniqueCount="19">
  <si>
    <t>Price</t>
  </si>
  <si>
    <t>Shares</t>
  </si>
  <si>
    <t>MC</t>
  </si>
  <si>
    <t>Cash</t>
  </si>
  <si>
    <t>Debt</t>
  </si>
  <si>
    <t>EV</t>
  </si>
  <si>
    <t>Main</t>
  </si>
  <si>
    <t>Revenue</t>
  </si>
  <si>
    <t>COGS</t>
  </si>
  <si>
    <t>Gross Profit</t>
  </si>
  <si>
    <t>Operating Expenses</t>
  </si>
  <si>
    <t>Operating Income</t>
  </si>
  <si>
    <t>R&amp;D</t>
  </si>
  <si>
    <t>SG&amp;A</t>
  </si>
  <si>
    <t>Interest Income</t>
  </si>
  <si>
    <t>Taxes</t>
  </si>
  <si>
    <t>Pretax Income</t>
  </si>
  <si>
    <t>Net Income</t>
  </si>
  <si>
    <t>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</si>
</sst>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/d/yy;@"/>
  </numFmts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0" fontId="3" fillId="0" borderId="0" xfId="1" applyFont="1"/>
    <xf numFmtId="166" fontId="1" fillId="0" borderId="0" xfId="0" applyNumberFormat="1" applyFont="1"/>
    <xf numFmtId="3" fontId="4" fillId="0" borderId="0" xfId="0" applyNumberFormat="1" applyFont="1"/>
    <xf numFmtId="9" fontId="1" fillId="0" borderId="0" xfId="0" applyNumberFormat="1" applyFont="1"/>
    <xf numFmtId="1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BACA8-14B3-4E45-916F-9D3E90CE4EEC}">
  <dimension ref="K2:L7"/>
  <sheetViews>
    <sheetView zoomScale="160" zoomScaleNormal="160" workbookViewId="0">
      <selection activeCell="B2" sqref="B2"/>
    </sheetView>
  </sheetViews>
  <sheetFormatPr defaultRowHeight="12.5" x14ac:dyDescent="0.25"/>
  <cols>
    <col min="1" max="16384" width="8.7265625" style="1"/>
  </cols>
  <sheetData>
    <row r="2" spans="11:12" x14ac:dyDescent="0.25">
      <c r="K2" s="1" t="s">
        <v>0</v>
      </c>
      <c r="L2" s="2">
        <v>1222</v>
      </c>
    </row>
    <row r="3" spans="11:12" x14ac:dyDescent="0.25">
      <c r="K3" s="1" t="s">
        <v>1</v>
      </c>
      <c r="L3" s="3">
        <v>148.08975799999999</v>
      </c>
    </row>
    <row r="4" spans="11:12" x14ac:dyDescent="0.25">
      <c r="K4" s="1" t="s">
        <v>2</v>
      </c>
      <c r="L4" s="3">
        <f>+L2*L3</f>
        <v>180965.68427599999</v>
      </c>
    </row>
    <row r="5" spans="11:12" x14ac:dyDescent="0.25">
      <c r="K5" s="1" t="s">
        <v>3</v>
      </c>
      <c r="L5" s="3">
        <v>3735</v>
      </c>
    </row>
    <row r="6" spans="11:12" x14ac:dyDescent="0.25">
      <c r="K6" s="1" t="s">
        <v>4</v>
      </c>
      <c r="L6" s="3">
        <v>0</v>
      </c>
    </row>
    <row r="7" spans="11:12" x14ac:dyDescent="0.25">
      <c r="K7" s="1" t="s">
        <v>5</v>
      </c>
      <c r="L7" s="3">
        <f>+L4-L5+L6</f>
        <v>177230.68427599999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24E74-E292-4D7F-87FB-CC094C4C7B60}">
  <dimension ref="A1:AF17"/>
  <sheetViews>
    <sheetView tabSelected="1" zoomScale="145" zoomScaleNormal="145" workbookViewId="0">
      <pane xSplit="2" ySplit="2" topLeftCell="Q3" activePane="bottomRight" state="frozen"/>
      <selection pane="topRight" activeCell="C1" sqref="C1"/>
      <selection pane="bottomLeft" activeCell="A3" sqref="A3"/>
      <selection pane="bottomRight" activeCell="T13" sqref="T13"/>
    </sheetView>
  </sheetViews>
  <sheetFormatPr defaultRowHeight="12.5" x14ac:dyDescent="0.25"/>
  <cols>
    <col min="1" max="1" width="4.6328125" style="1" bestFit="1" customWidth="1"/>
    <col min="2" max="2" width="17.26953125" style="1" bestFit="1" customWidth="1"/>
    <col min="3" max="5" width="8.90625" style="1" bestFit="1" customWidth="1"/>
    <col min="6" max="16384" width="8.7265625" style="1"/>
  </cols>
  <sheetData>
    <row r="1" spans="1:32" x14ac:dyDescent="0.25">
      <c r="A1" s="4" t="s">
        <v>6</v>
      </c>
    </row>
    <row r="2" spans="1:32" s="5" customFormat="1" x14ac:dyDescent="0.25">
      <c r="C2" s="5">
        <v>45562</v>
      </c>
      <c r="D2" s="5">
        <v>45653</v>
      </c>
      <c r="E2" s="5">
        <v>45744</v>
      </c>
      <c r="F2" s="5">
        <f>+E2+90</f>
        <v>45834</v>
      </c>
      <c r="G2" s="5">
        <v>45933</v>
      </c>
      <c r="H2" s="5">
        <v>46024</v>
      </c>
      <c r="I2" s="5">
        <v>46115</v>
      </c>
      <c r="J2" s="5">
        <f>+I2+90</f>
        <v>46205</v>
      </c>
      <c r="Q2" s="8">
        <v>2023</v>
      </c>
      <c r="R2" s="8">
        <v>2024</v>
      </c>
      <c r="S2" s="8">
        <v>2025</v>
      </c>
      <c r="T2" s="8">
        <f>+S2+1</f>
        <v>2026</v>
      </c>
      <c r="U2" s="8">
        <f t="shared" ref="U2:AF2" si="0">+T2+1</f>
        <v>2027</v>
      </c>
      <c r="V2" s="8">
        <f t="shared" si="0"/>
        <v>2028</v>
      </c>
      <c r="W2" s="8">
        <f t="shared" si="0"/>
        <v>2029</v>
      </c>
      <c r="X2" s="8">
        <f t="shared" si="0"/>
        <v>2030</v>
      </c>
      <c r="Y2" s="8">
        <f t="shared" si="0"/>
        <v>2031</v>
      </c>
      <c r="Z2" s="8">
        <f t="shared" si="0"/>
        <v>2032</v>
      </c>
      <c r="AA2" s="8">
        <f t="shared" si="0"/>
        <v>2033</v>
      </c>
      <c r="AB2" s="8">
        <f t="shared" si="0"/>
        <v>2034</v>
      </c>
      <c r="AC2" s="8">
        <f t="shared" si="0"/>
        <v>2035</v>
      </c>
      <c r="AD2" s="8">
        <f t="shared" si="0"/>
        <v>2036</v>
      </c>
      <c r="AE2" s="8">
        <f t="shared" si="0"/>
        <v>2037</v>
      </c>
      <c r="AF2" s="8">
        <f t="shared" si="0"/>
        <v>2038</v>
      </c>
    </row>
    <row r="3" spans="1:32" s="6" customFormat="1" ht="13" x14ac:dyDescent="0.3">
      <c r="B3" s="6" t="s">
        <v>7</v>
      </c>
      <c r="C3" s="6">
        <v>1883</v>
      </c>
      <c r="D3" s="6">
        <v>1876</v>
      </c>
      <c r="E3" s="6">
        <v>1695</v>
      </c>
      <c r="F3" s="6">
        <v>2000</v>
      </c>
      <c r="G3" s="6">
        <v>2308</v>
      </c>
      <c r="H3" s="6">
        <v>3025</v>
      </c>
      <c r="I3" s="6">
        <v>5950</v>
      </c>
      <c r="J3" s="6">
        <v>8000</v>
      </c>
      <c r="Q3" s="6">
        <v>6086</v>
      </c>
      <c r="R3" s="6">
        <v>6663</v>
      </c>
      <c r="S3" s="6">
        <v>7355</v>
      </c>
      <c r="T3" s="6">
        <f>SUM(G3:J3)</f>
        <v>19283</v>
      </c>
    </row>
    <row r="4" spans="1:32" s="3" customFormat="1" x14ac:dyDescent="0.25">
      <c r="B4" s="3" t="s">
        <v>8</v>
      </c>
      <c r="C4" s="3">
        <v>1157</v>
      </c>
      <c r="D4" s="3">
        <v>1270</v>
      </c>
      <c r="E4" s="3">
        <v>1313</v>
      </c>
      <c r="G4" s="3">
        <v>1621</v>
      </c>
      <c r="H4" s="3">
        <v>1484</v>
      </c>
      <c r="I4" s="3">
        <v>1288</v>
      </c>
      <c r="J4" s="3">
        <f>+I4</f>
        <v>1288</v>
      </c>
      <c r="Q4" s="3">
        <v>5656</v>
      </c>
      <c r="R4" s="3">
        <v>5591</v>
      </c>
      <c r="S4" s="3">
        <v>5143</v>
      </c>
      <c r="T4" s="3">
        <f>SUM(G4:J4)</f>
        <v>5681</v>
      </c>
    </row>
    <row r="5" spans="1:32" s="3" customFormat="1" x14ac:dyDescent="0.25">
      <c r="B5" s="3" t="s">
        <v>9</v>
      </c>
      <c r="C5" s="3">
        <f t="shared" ref="C5:H5" si="1">+C3-C4</f>
        <v>726</v>
      </c>
      <c r="D5" s="3">
        <f t="shared" si="1"/>
        <v>606</v>
      </c>
      <c r="E5" s="3">
        <f t="shared" si="1"/>
        <v>382</v>
      </c>
      <c r="F5" s="3">
        <f t="shared" si="1"/>
        <v>2000</v>
      </c>
      <c r="G5" s="3">
        <f t="shared" si="1"/>
        <v>687</v>
      </c>
      <c r="H5" s="3">
        <f t="shared" si="1"/>
        <v>1541</v>
      </c>
      <c r="I5" s="3">
        <f>+I3-I4</f>
        <v>4662</v>
      </c>
      <c r="J5" s="3">
        <f>+J3-J4</f>
        <v>6712</v>
      </c>
      <c r="Q5" s="3">
        <f>+Q3-Q4</f>
        <v>430</v>
      </c>
      <c r="R5" s="3">
        <f>+R3-R4</f>
        <v>1072</v>
      </c>
      <c r="S5" s="3">
        <f t="shared" ref="S5:T5" si="2">+S3-S4</f>
        <v>2212</v>
      </c>
      <c r="T5" s="3">
        <f t="shared" si="2"/>
        <v>13602</v>
      </c>
    </row>
    <row r="6" spans="1:32" s="3" customFormat="1" x14ac:dyDescent="0.25">
      <c r="B6" s="3" t="s">
        <v>12</v>
      </c>
      <c r="C6" s="3">
        <v>283</v>
      </c>
      <c r="D6" s="3">
        <v>279</v>
      </c>
      <c r="E6" s="3">
        <v>285</v>
      </c>
      <c r="G6" s="3">
        <v>316</v>
      </c>
      <c r="H6" s="3">
        <v>327</v>
      </c>
      <c r="I6" s="3">
        <v>337</v>
      </c>
      <c r="Q6" s="3">
        <v>1167</v>
      </c>
      <c r="R6" s="3">
        <v>1061</v>
      </c>
      <c r="S6" s="3">
        <v>1132</v>
      </c>
    </row>
    <row r="7" spans="1:32" s="3" customFormat="1" x14ac:dyDescent="0.25">
      <c r="B7" s="3" t="s">
        <v>13</v>
      </c>
      <c r="C7" s="3">
        <v>130</v>
      </c>
      <c r="D7" s="3">
        <v>142</v>
      </c>
      <c r="E7" s="3">
        <v>139</v>
      </c>
      <c r="G7" s="3">
        <v>179</v>
      </c>
      <c r="H7" s="3">
        <v>139</v>
      </c>
      <c r="I7" s="3">
        <v>161</v>
      </c>
      <c r="Q7" s="3">
        <v>558</v>
      </c>
      <c r="R7" s="3">
        <v>455</v>
      </c>
      <c r="S7" s="3">
        <v>573</v>
      </c>
    </row>
    <row r="8" spans="1:32" s="3" customFormat="1" x14ac:dyDescent="0.25">
      <c r="B8" s="3" t="s">
        <v>10</v>
      </c>
      <c r="C8" s="3">
        <f t="shared" ref="C8:H8" si="3">+C6+C7</f>
        <v>413</v>
      </c>
      <c r="D8" s="3">
        <f t="shared" si="3"/>
        <v>421</v>
      </c>
      <c r="E8" s="3">
        <f t="shared" si="3"/>
        <v>424</v>
      </c>
      <c r="F8" s="3">
        <f t="shared" si="3"/>
        <v>0</v>
      </c>
      <c r="G8" s="3">
        <f t="shared" si="3"/>
        <v>495</v>
      </c>
      <c r="H8" s="3">
        <f t="shared" si="3"/>
        <v>466</v>
      </c>
      <c r="I8" s="3">
        <f>+I6+I7</f>
        <v>498</v>
      </c>
      <c r="Q8" s="3">
        <f>+Q6+Q7</f>
        <v>1725</v>
      </c>
      <c r="R8" s="3">
        <f>+R6+R7</f>
        <v>1516</v>
      </c>
      <c r="S8" s="3">
        <f t="shared" ref="S8:T8" si="4">+S6+S7</f>
        <v>1705</v>
      </c>
      <c r="T8" s="3">
        <f t="shared" si="4"/>
        <v>0</v>
      </c>
    </row>
    <row r="9" spans="1:32" s="3" customFormat="1" x14ac:dyDescent="0.25">
      <c r="B9" s="3" t="s">
        <v>11</v>
      </c>
      <c r="C9" s="3">
        <f t="shared" ref="C9:H9" si="5">+C5-C8</f>
        <v>313</v>
      </c>
      <c r="D9" s="3">
        <f t="shared" si="5"/>
        <v>185</v>
      </c>
      <c r="E9" s="3">
        <f t="shared" si="5"/>
        <v>-42</v>
      </c>
      <c r="F9" s="3">
        <f t="shared" si="5"/>
        <v>2000</v>
      </c>
      <c r="G9" s="3">
        <f t="shared" si="5"/>
        <v>192</v>
      </c>
      <c r="H9" s="3">
        <f t="shared" si="5"/>
        <v>1075</v>
      </c>
      <c r="I9" s="3">
        <f>+I5-I8</f>
        <v>4164</v>
      </c>
      <c r="Q9" s="3">
        <f>+Q5-Q8</f>
        <v>-1295</v>
      </c>
      <c r="R9" s="3">
        <f>+R5-R8</f>
        <v>-444</v>
      </c>
      <c r="S9" s="3">
        <f t="shared" ref="S9:T9" si="6">+S5-S8</f>
        <v>507</v>
      </c>
      <c r="T9" s="3">
        <f t="shared" si="6"/>
        <v>13602</v>
      </c>
    </row>
    <row r="10" spans="1:32" x14ac:dyDescent="0.25">
      <c r="B10" s="1" t="s">
        <v>14</v>
      </c>
      <c r="C10" s="3">
        <f>3-2</f>
        <v>1</v>
      </c>
      <c r="D10" s="3">
        <f>2-4</f>
        <v>-2</v>
      </c>
      <c r="E10" s="3">
        <v>-10</v>
      </c>
      <c r="G10" s="1">
        <f>16-40</f>
        <v>-24</v>
      </c>
      <c r="H10" s="1">
        <f>12-25</f>
        <v>-13</v>
      </c>
      <c r="I10" s="1">
        <v>6</v>
      </c>
    </row>
    <row r="11" spans="1:32" x14ac:dyDescent="0.25">
      <c r="B11" s="1" t="s">
        <v>16</v>
      </c>
      <c r="C11" s="3">
        <f t="shared" ref="C11:H11" si="7">+C9+C10</f>
        <v>314</v>
      </c>
      <c r="D11" s="3">
        <f t="shared" si="7"/>
        <v>183</v>
      </c>
      <c r="E11" s="3">
        <f t="shared" si="7"/>
        <v>-52</v>
      </c>
      <c r="F11" s="3">
        <f t="shared" si="7"/>
        <v>2000</v>
      </c>
      <c r="G11" s="3">
        <f t="shared" si="7"/>
        <v>168</v>
      </c>
      <c r="H11" s="3">
        <f t="shared" si="7"/>
        <v>1062</v>
      </c>
      <c r="I11" s="3">
        <f>+I9+I10</f>
        <v>4170</v>
      </c>
      <c r="Q11" s="3">
        <f>+Q9+Q10</f>
        <v>-1295</v>
      </c>
      <c r="R11" s="3">
        <f>+R9+R10</f>
        <v>-444</v>
      </c>
      <c r="S11" s="3">
        <f t="shared" ref="S11:T11" si="8">+S9+S10</f>
        <v>507</v>
      </c>
      <c r="T11" s="3">
        <f t="shared" si="8"/>
        <v>13602</v>
      </c>
    </row>
    <row r="12" spans="1:32" x14ac:dyDescent="0.25">
      <c r="B12" s="1" t="s">
        <v>15</v>
      </c>
      <c r="C12" s="3">
        <v>56</v>
      </c>
      <c r="D12" s="3">
        <v>69</v>
      </c>
      <c r="E12" s="3">
        <v>0</v>
      </c>
      <c r="G12" s="1">
        <v>12</v>
      </c>
      <c r="H12" s="1">
        <v>134</v>
      </c>
      <c r="I12" s="1">
        <v>492</v>
      </c>
    </row>
    <row r="13" spans="1:32" x14ac:dyDescent="0.25">
      <c r="B13" s="1" t="s">
        <v>17</v>
      </c>
      <c r="C13" s="3">
        <f t="shared" ref="C13:H13" si="9">+C11-C12</f>
        <v>258</v>
      </c>
      <c r="D13" s="3">
        <f t="shared" si="9"/>
        <v>114</v>
      </c>
      <c r="E13" s="3">
        <f t="shared" si="9"/>
        <v>-52</v>
      </c>
      <c r="F13" s="3">
        <f t="shared" si="9"/>
        <v>2000</v>
      </c>
      <c r="G13" s="3">
        <f t="shared" si="9"/>
        <v>156</v>
      </c>
      <c r="H13" s="3">
        <f t="shared" si="9"/>
        <v>928</v>
      </c>
      <c r="I13" s="3">
        <f>+I11-I12</f>
        <v>3678</v>
      </c>
      <c r="Q13" s="3">
        <f>+Q11-Q12</f>
        <v>-1295</v>
      </c>
      <c r="R13" s="3">
        <f>+R11-R12</f>
        <v>-444</v>
      </c>
      <c r="S13" s="3">
        <f t="shared" ref="S13:T13" si="10">+S11-S12</f>
        <v>507</v>
      </c>
      <c r="T13" s="3">
        <f t="shared" si="10"/>
        <v>13602</v>
      </c>
    </row>
    <row r="14" spans="1:32" x14ac:dyDescent="0.25">
      <c r="B14" s="1" t="s">
        <v>18</v>
      </c>
      <c r="C14" s="2">
        <f>C13/C15</f>
        <v>1.7793103448275862</v>
      </c>
      <c r="D14" s="2">
        <f>D13/D15</f>
        <v>0.78620689655172415</v>
      </c>
      <c r="E14" s="2">
        <f>E13/E15</f>
        <v>-0.35862068965517241</v>
      </c>
      <c r="F14" s="2"/>
      <c r="G14" s="2">
        <f t="shared" ref="G14:I14" si="11">G13/G15</f>
        <v>1.0469798657718121</v>
      </c>
      <c r="H14" s="2">
        <f t="shared" si="11"/>
        <v>5.9487179487179489</v>
      </c>
      <c r="I14" s="2">
        <f t="shared" si="11"/>
        <v>23.426751592356688</v>
      </c>
    </row>
    <row r="15" spans="1:32" x14ac:dyDescent="0.25">
      <c r="B15" s="1" t="s">
        <v>1</v>
      </c>
      <c r="C15" s="1">
        <v>145</v>
      </c>
      <c r="D15" s="1">
        <v>145</v>
      </c>
      <c r="E15" s="1">
        <v>145</v>
      </c>
      <c r="G15" s="1">
        <v>149</v>
      </c>
      <c r="H15" s="1">
        <v>156</v>
      </c>
      <c r="I15" s="1">
        <v>157</v>
      </c>
    </row>
    <row r="17" spans="7:10" x14ac:dyDescent="0.25">
      <c r="G17" s="7">
        <f>G3/C3-1</f>
        <v>0.22570366436537448</v>
      </c>
      <c r="H17" s="7">
        <f>H3/D3-1</f>
        <v>0.61247334754797444</v>
      </c>
      <c r="I17" s="7">
        <f>I3/E3-1</f>
        <v>2.5103244837758112</v>
      </c>
      <c r="J17" s="7">
        <f>J3/F3-1</f>
        <v>3</v>
      </c>
    </row>
  </sheetData>
  <hyperlinks>
    <hyperlink ref="A1" location="Main!A1" display="Main" xr:uid="{CF442018-CA11-4612-826F-BAAD11D868F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2026-05-04T13:28:26Z</dcterms:created>
  <dcterms:modified xsi:type="dcterms:W3CDTF">2026-05-04T13:51:41Z</dcterms:modified>
</cp:coreProperties>
</file>