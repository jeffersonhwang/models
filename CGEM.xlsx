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7D58218-4934-4AD9-BBA6-AB2D5963417D}" xr6:coauthVersionLast="47" xr6:coauthVersionMax="47" xr10:uidLastSave="{00000000-0000-0000-0000-000000000000}"/>
  <bookViews>
    <workbookView xWindow="6970" yWindow="2250" windowWidth="21420" windowHeight="18090" xr2:uid="{4408F6CE-671F-454D-B768-DA026E956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4" i="1"/>
</calcChain>
</file>

<file path=xl/sharedStrings.xml><?xml version="1.0" encoding="utf-8"?>
<sst xmlns="http://schemas.openxmlformats.org/spreadsheetml/2006/main" count="25" uniqueCount="23">
  <si>
    <t>Price</t>
  </si>
  <si>
    <t>Shares</t>
  </si>
  <si>
    <t>MC</t>
  </si>
  <si>
    <t>Cash</t>
  </si>
  <si>
    <t>Debt</t>
  </si>
  <si>
    <t>EV</t>
  </si>
  <si>
    <t xml:space="preserve">zipalertinib </t>
  </si>
  <si>
    <t>Name</t>
  </si>
  <si>
    <t>CLN-978</t>
  </si>
  <si>
    <t>CD19xCD3 BITE</t>
  </si>
  <si>
    <t>velinotamig</t>
  </si>
  <si>
    <t>BCMAxCD3 BITE</t>
  </si>
  <si>
    <t>CLN-049</t>
  </si>
  <si>
    <t>FLT3xCD3 BITE</t>
  </si>
  <si>
    <t>EGFR ex20ins</t>
  </si>
  <si>
    <t>Economics</t>
  </si>
  <si>
    <t>Taiho</t>
  </si>
  <si>
    <t>MOA</t>
  </si>
  <si>
    <t>Indication</t>
  </si>
  <si>
    <t>AML</t>
  </si>
  <si>
    <t>RA, SLE, SjD</t>
  </si>
  <si>
    <t>Genrix Bio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</si>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</sst>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3" fontId="1" fillId="0" borderId="0" xfId="0" applyNumberFormat="1" applyFont="1"/>
    <xf numFmtId="0" fontId="1" fillId="0" borderId="0" xfId="0" quotePrefix="1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B0FF-9AEA-42E1-8B89-746EE1EE7895}">
  <dimension ref="B2:L7"/>
  <sheetViews>
    <sheetView tabSelected="1" zoomScale="160" zoomScaleNormal="160" workbookViewId="0">
      <selection activeCell="K3" sqref="K3"/>
    </sheetView>
  </sheetViews>
  <sheetFormatPr defaultRowHeight="12.5" x14ac:dyDescent="0.25"/>
  <cols>
    <col min="1" max="1" width="3.7265625" style="4" customWidth="1"/>
    <col min="2" max="2" width="12.26953125" style="4" customWidth="1"/>
    <col min="3" max="3" width="15.36328125" style="4" customWidth="1"/>
    <col min="4" max="16384" width="8.7265625" style="4"/>
  </cols>
  <sheetData>
    <row r="2" spans="2:12" x14ac:dyDescent="0.25">
      <c r="B2" s="1" t="s">
        <v>7</v>
      </c>
      <c r="C2" s="2" t="s">
        <v>17</v>
      </c>
      <c r="D2" s="2" t="s">
        <v>15</v>
      </c>
      <c r="E2" s="2" t="s">
        <v>18</v>
      </c>
      <c r="F2" s="2"/>
      <c r="G2" s="2"/>
      <c r="H2" s="3"/>
      <c r="J2" s="4" t="s">
        <v>0</v>
      </c>
      <c r="K2" s="4">
        <v>15.38</v>
      </c>
    </row>
    <row r="3" spans="2:12" x14ac:dyDescent="0.25">
      <c r="B3" s="5" t="s">
        <v>6</v>
      </c>
      <c r="C3" s="6" t="s">
        <v>14</v>
      </c>
      <c r="D3" s="6" t="s">
        <v>16</v>
      </c>
      <c r="E3" s="6"/>
      <c r="F3" s="6"/>
      <c r="G3" s="6"/>
      <c r="H3" s="7"/>
      <c r="J3" s="4" t="s">
        <v>1</v>
      </c>
      <c r="K3" s="8">
        <v>60.526128</v>
      </c>
      <c r="L3" s="13" t="s">
        <v>22</v>
      </c>
    </row>
    <row r="4" spans="2:12" x14ac:dyDescent="0.25">
      <c r="B4" s="5" t="s">
        <v>8</v>
      </c>
      <c r="C4" s="6" t="s">
        <v>9</v>
      </c>
      <c r="D4" s="6"/>
      <c r="E4" s="6" t="s">
        <v>20</v>
      </c>
      <c r="F4" s="6"/>
      <c r="G4" s="6"/>
      <c r="H4" s="7"/>
      <c r="J4" s="4" t="s">
        <v>2</v>
      </c>
      <c r="K4" s="8">
        <f>+K2*K3</f>
        <v>930.89184864000003</v>
      </c>
    </row>
    <row r="5" spans="2:12" x14ac:dyDescent="0.25">
      <c r="B5" s="5" t="s">
        <v>10</v>
      </c>
      <c r="C5" s="6" t="s">
        <v>11</v>
      </c>
      <c r="D5" s="9" t="s">
        <v>21</v>
      </c>
      <c r="E5" s="6"/>
      <c r="F5" s="6"/>
      <c r="G5" s="6"/>
      <c r="H5" s="7"/>
      <c r="J5" s="4" t="s">
        <v>3</v>
      </c>
      <c r="K5" s="8">
        <v>439</v>
      </c>
      <c r="L5" s="13" t="s">
        <v>22</v>
      </c>
    </row>
    <row r="6" spans="2:12" x14ac:dyDescent="0.25">
      <c r="B6" s="10" t="s">
        <v>12</v>
      </c>
      <c r="C6" s="11" t="s">
        <v>13</v>
      </c>
      <c r="D6" s="11"/>
      <c r="E6" s="11" t="s">
        <v>19</v>
      </c>
      <c r="F6" s="11"/>
      <c r="G6" s="11"/>
      <c r="H6" s="12"/>
      <c r="J6" s="4" t="s">
        <v>4</v>
      </c>
      <c r="K6" s="8">
        <v>0</v>
      </c>
      <c r="L6" s="13" t="s">
        <v>22</v>
      </c>
    </row>
    <row r="7" spans="2:12" x14ac:dyDescent="0.25">
      <c r="J7" s="4" t="s">
        <v>5</v>
      </c>
      <c r="K7" s="8">
        <f>+K4-K5+K6</f>
        <v>491.89184864000003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2026-04-06T17:01:42Z</dcterms:created>
  <dcterms:modified xsi:type="dcterms:W3CDTF">2026-04-06T17:12:23Z</dcterms:modified>
</cp:coreProperties>
</file>