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e\Documents\GitHub\martinshkreli-models\"/>
    </mc:Choice>
  </mc:AlternateContent>
  <xr:revisionPtr revIDLastSave="0" documentId="13_ncr:1_{5CD96AC8-719A-4985-B138-F9432890C992}" xr6:coauthVersionLast="47" xr6:coauthVersionMax="47" xr10:uidLastSave="{00000000-0000-0000-0000-000000000000}"/>
  <bookViews>
    <workbookView xWindow="14235" yWindow="90" windowWidth="26190" windowHeight="20805" activeTab="1" xr2:uid="{3AF6BCC7-0372-4EF8-A651-596D3CC14EF5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J16" i="2" l="1"/>
  <c r="AI16" i="2"/>
  <c r="AJ14" i="2"/>
  <c r="AI14" i="2"/>
  <c r="AH14" i="2"/>
  <c r="AH16" i="2"/>
  <c r="AC16" i="2"/>
  <c r="AD16" i="2"/>
  <c r="AE16" i="2"/>
  <c r="AF16" i="2"/>
  <c r="AG16" i="2"/>
  <c r="AG14" i="2"/>
  <c r="AG15" i="2"/>
  <c r="AF15" i="2"/>
  <c r="AE15" i="2"/>
  <c r="AD15" i="2"/>
  <c r="AC15" i="2"/>
  <c r="AG26" i="2"/>
  <c r="AF14" i="2"/>
  <c r="L3" i="1"/>
  <c r="AC26" i="2"/>
  <c r="X25" i="2" l="1"/>
  <c r="X23" i="2"/>
  <c r="X12" i="2"/>
  <c r="X20" i="2"/>
  <c r="X19" i="2"/>
  <c r="X18" i="2"/>
  <c r="X21" i="2" s="1"/>
  <c r="X16" i="2"/>
  <c r="X14" i="2"/>
  <c r="X15" i="2" s="1"/>
  <c r="W23" i="2"/>
  <c r="W21" i="2"/>
  <c r="U23" i="2"/>
  <c r="U21" i="2"/>
  <c r="V30" i="2"/>
  <c r="V23" i="2"/>
  <c r="V21" i="2"/>
  <c r="L23" i="2"/>
  <c r="L15" i="2"/>
  <c r="L17" i="2" s="1"/>
  <c r="L32" i="2" s="1"/>
  <c r="P69" i="2"/>
  <c r="Q69" i="2"/>
  <c r="R69" i="2"/>
  <c r="S69" i="2"/>
  <c r="M23" i="2"/>
  <c r="Q23" i="2"/>
  <c r="Q21" i="2"/>
  <c r="Q17" i="2"/>
  <c r="M15" i="2"/>
  <c r="M17" i="2" s="1"/>
  <c r="M32" i="2" s="1"/>
  <c r="R23" i="2"/>
  <c r="R21" i="2"/>
  <c r="R15" i="2"/>
  <c r="R17" i="2" s="1"/>
  <c r="R32" i="2" s="1"/>
  <c r="O23" i="2"/>
  <c r="O21" i="2"/>
  <c r="O15" i="2"/>
  <c r="O17" i="2" s="1"/>
  <c r="O32" i="2" s="1"/>
  <c r="S23" i="2"/>
  <c r="S21" i="2"/>
  <c r="S15" i="2"/>
  <c r="S17" i="2" s="1"/>
  <c r="S32" i="2" s="1"/>
  <c r="T67" i="2"/>
  <c r="T68" i="2" s="1"/>
  <c r="T69" i="2" s="1"/>
  <c r="T50" i="2"/>
  <c r="T49" i="2"/>
  <c r="T55" i="2" s="1"/>
  <c r="T42" i="2"/>
  <c r="T37" i="2"/>
  <c r="T45" i="2" s="1"/>
  <c r="W15" i="2"/>
  <c r="W30" i="2" s="1"/>
  <c r="V15" i="2"/>
  <c r="V17" i="2" s="1"/>
  <c r="V32" i="2" s="1"/>
  <c r="U15" i="2"/>
  <c r="U17" i="2" s="1"/>
  <c r="U22" i="2" s="1"/>
  <c r="P23" i="2"/>
  <c r="P21" i="2"/>
  <c r="P15" i="2"/>
  <c r="P17" i="2" s="1"/>
  <c r="P32" i="2" s="1"/>
  <c r="T23" i="2"/>
  <c r="T21" i="2"/>
  <c r="T15" i="2"/>
  <c r="T17" i="2" s="1"/>
  <c r="T32" i="2" s="1"/>
  <c r="Q15" i="2"/>
  <c r="AE11" i="2" s="1"/>
  <c r="N23" i="2"/>
  <c r="N21" i="2"/>
  <c r="N22" i="2" s="1"/>
  <c r="N24" i="2" s="1"/>
  <c r="N26" i="2" s="1"/>
  <c r="N27" i="2" s="1"/>
  <c r="M21" i="2"/>
  <c r="L21" i="2"/>
  <c r="N15" i="2"/>
  <c r="N16" i="2" s="1"/>
  <c r="I31" i="2"/>
  <c r="J31" i="2"/>
  <c r="D23" i="2"/>
  <c r="D14" i="2"/>
  <c r="D15" i="2" s="1"/>
  <c r="D17" i="2" s="1"/>
  <c r="D32" i="2" s="1"/>
  <c r="D21" i="2"/>
  <c r="H23" i="2"/>
  <c r="H21" i="2"/>
  <c r="H14" i="2"/>
  <c r="H15" i="2" s="1"/>
  <c r="I15" i="2"/>
  <c r="AC11" i="2" s="1"/>
  <c r="E23" i="2"/>
  <c r="E21" i="2"/>
  <c r="E15" i="2"/>
  <c r="E17" i="2" s="1"/>
  <c r="E32" i="2" s="1"/>
  <c r="I23" i="2"/>
  <c r="I21" i="2"/>
  <c r="K31" i="2"/>
  <c r="F21" i="2"/>
  <c r="F15" i="2"/>
  <c r="F17" i="2" s="1"/>
  <c r="F32" i="2" s="1"/>
  <c r="J23" i="2"/>
  <c r="J21" i="2"/>
  <c r="J15" i="2"/>
  <c r="G19" i="2"/>
  <c r="G21" i="2" s="1"/>
  <c r="K19" i="2"/>
  <c r="K21" i="2" s="1"/>
  <c r="G16" i="2"/>
  <c r="K16" i="2"/>
  <c r="G23" i="2"/>
  <c r="K23" i="2"/>
  <c r="G15" i="2"/>
  <c r="K15" i="2"/>
  <c r="L4" i="1"/>
  <c r="L7" i="1" s="1"/>
  <c r="AB11" i="2" l="1"/>
  <c r="AC12" i="2" s="1"/>
  <c r="AD11" i="2"/>
  <c r="AD12" i="2" s="1"/>
  <c r="X17" i="2"/>
  <c r="X22" i="2" s="1"/>
  <c r="X24" i="2" s="1"/>
  <c r="X26" i="2" s="1"/>
  <c r="X27" i="2" s="1"/>
  <c r="X30" i="2"/>
  <c r="AF11" i="2"/>
  <c r="Q22" i="2"/>
  <c r="L22" i="2"/>
  <c r="L33" i="2" s="1"/>
  <c r="Q33" i="2"/>
  <c r="Q24" i="2"/>
  <c r="Q26" i="2" s="1"/>
  <c r="Q27" i="2" s="1"/>
  <c r="U24" i="2"/>
  <c r="U26" i="2" s="1"/>
  <c r="U27" i="2" s="1"/>
  <c r="U33" i="2"/>
  <c r="N32" i="2"/>
  <c r="U32" i="2"/>
  <c r="W17" i="2"/>
  <c r="V22" i="2"/>
  <c r="Q32" i="2"/>
  <c r="N33" i="2"/>
  <c r="U30" i="2"/>
  <c r="L30" i="2"/>
  <c r="M22" i="2"/>
  <c r="M30" i="2"/>
  <c r="Q30" i="2"/>
  <c r="R22" i="2"/>
  <c r="O22" i="2"/>
  <c r="S22" i="2"/>
  <c r="J30" i="2"/>
  <c r="T22" i="2"/>
  <c r="T33" i="2" s="1"/>
  <c r="O30" i="2"/>
  <c r="R30" i="2"/>
  <c r="S30" i="2"/>
  <c r="K30" i="2"/>
  <c r="N30" i="2"/>
  <c r="P22" i="2"/>
  <c r="P30" i="2"/>
  <c r="T30" i="2"/>
  <c r="G17" i="2"/>
  <c r="G32" i="2" s="1"/>
  <c r="I30" i="2"/>
  <c r="H30" i="2"/>
  <c r="H17" i="2"/>
  <c r="H32" i="2" s="1"/>
  <c r="D22" i="2"/>
  <c r="I17" i="2"/>
  <c r="I32" i="2" s="1"/>
  <c r="E22" i="2"/>
  <c r="J17" i="2"/>
  <c r="J32" i="2" s="1"/>
  <c r="F22" i="2"/>
  <c r="K17" i="2"/>
  <c r="K32" i="2" s="1"/>
  <c r="AE12" i="2" l="1"/>
  <c r="S24" i="2"/>
  <c r="S26" i="2" s="1"/>
  <c r="S27" i="2" s="1"/>
  <c r="S33" i="2"/>
  <c r="O24" i="2"/>
  <c r="O26" i="2" s="1"/>
  <c r="O27" i="2" s="1"/>
  <c r="O33" i="2"/>
  <c r="R24" i="2"/>
  <c r="R26" i="2" s="1"/>
  <c r="R27" i="2" s="1"/>
  <c r="R33" i="2"/>
  <c r="AG11" i="2"/>
  <c r="AF12" i="2"/>
  <c r="P24" i="2"/>
  <c r="P26" i="2" s="1"/>
  <c r="P27" i="2" s="1"/>
  <c r="P33" i="2"/>
  <c r="L24" i="2"/>
  <c r="L26" i="2" s="1"/>
  <c r="L27" i="2" s="1"/>
  <c r="T24" i="2"/>
  <c r="T26" i="2" s="1"/>
  <c r="T27" i="2" s="1"/>
  <c r="M24" i="2"/>
  <c r="M26" i="2" s="1"/>
  <c r="M27" i="2" s="1"/>
  <c r="M33" i="2"/>
  <c r="V33" i="2"/>
  <c r="V24" i="2"/>
  <c r="V26" i="2" s="1"/>
  <c r="V27" i="2" s="1"/>
  <c r="W32" i="2"/>
  <c r="W22" i="2"/>
  <c r="H22" i="2"/>
  <c r="J22" i="2"/>
  <c r="J24" i="2" s="1"/>
  <c r="J26" i="2" s="1"/>
  <c r="J27" i="2" s="1"/>
  <c r="G22" i="2"/>
  <c r="G24" i="2" s="1"/>
  <c r="G26" i="2" s="1"/>
  <c r="G27" i="2" s="1"/>
  <c r="K22" i="2"/>
  <c r="K33" i="2" s="1"/>
  <c r="F24" i="2"/>
  <c r="F26" i="2" s="1"/>
  <c r="F27" i="2" s="1"/>
  <c r="F33" i="2"/>
  <c r="I22" i="2"/>
  <c r="I24" i="2" s="1"/>
  <c r="I26" i="2" s="1"/>
  <c r="I27" i="2" s="1"/>
  <c r="E24" i="2"/>
  <c r="E26" i="2" s="1"/>
  <c r="E27" i="2" s="1"/>
  <c r="E33" i="2"/>
  <c r="D24" i="2"/>
  <c r="D26" i="2" s="1"/>
  <c r="D27" i="2" s="1"/>
  <c r="D33" i="2"/>
  <c r="AG12" i="2" l="1"/>
  <c r="AH11" i="2"/>
  <c r="T57" i="2"/>
  <c r="G33" i="2"/>
  <c r="J33" i="2"/>
  <c r="W33" i="2"/>
  <c r="W24" i="2"/>
  <c r="W26" i="2" s="1"/>
  <c r="W27" i="2" s="1"/>
  <c r="I33" i="2"/>
  <c r="H24" i="2"/>
  <c r="H26" i="2" s="1"/>
  <c r="H27" i="2" s="1"/>
  <c r="H33" i="2"/>
  <c r="K24" i="2"/>
  <c r="K26" i="2" s="1"/>
  <c r="K27" i="2" s="1"/>
  <c r="AI11" i="2" l="1"/>
  <c r="AH12" i="2"/>
  <c r="AJ11" i="2" l="1"/>
  <c r="AI12" i="2"/>
  <c r="AK11" i="2" l="1"/>
  <c r="AK14" i="2" s="1"/>
  <c r="AL14" i="2" s="1"/>
  <c r="AM14" i="2" s="1"/>
  <c r="AN14" i="2" s="1"/>
  <c r="AO14" i="2" s="1"/>
  <c r="AP14" i="2" s="1"/>
  <c r="AQ14" i="2" s="1"/>
  <c r="AR14" i="2" s="1"/>
  <c r="AS14" i="2" s="1"/>
  <c r="AT14" i="2" s="1"/>
  <c r="AU14" i="2" s="1"/>
  <c r="AV14" i="2" s="1"/>
  <c r="AW14" i="2" s="1"/>
  <c r="AX14" i="2" s="1"/>
  <c r="AY14" i="2" s="1"/>
  <c r="AZ14" i="2" s="1"/>
  <c r="BA14" i="2" s="1"/>
  <c r="BB14" i="2" s="1"/>
  <c r="BC14" i="2" s="1"/>
  <c r="BD14" i="2" s="1"/>
  <c r="BE14" i="2" s="1"/>
  <c r="BF14" i="2" s="1"/>
  <c r="BG14" i="2" s="1"/>
  <c r="BH14" i="2" s="1"/>
  <c r="BI14" i="2" s="1"/>
  <c r="BJ14" i="2" s="1"/>
  <c r="BK14" i="2" s="1"/>
  <c r="BL14" i="2" s="1"/>
  <c r="BM14" i="2" s="1"/>
  <c r="BN14" i="2" s="1"/>
  <c r="BO14" i="2" s="1"/>
  <c r="BP14" i="2" s="1"/>
  <c r="BQ14" i="2" s="1"/>
  <c r="BR14" i="2" s="1"/>
  <c r="BS14" i="2" s="1"/>
  <c r="BT14" i="2" s="1"/>
  <c r="BU14" i="2" s="1"/>
  <c r="BV14" i="2" s="1"/>
  <c r="BW14" i="2" s="1"/>
  <c r="BX14" i="2" s="1"/>
  <c r="BY14" i="2" s="1"/>
  <c r="BZ14" i="2" s="1"/>
  <c r="CA14" i="2" s="1"/>
  <c r="CB14" i="2" s="1"/>
  <c r="CC14" i="2" s="1"/>
  <c r="CD14" i="2" s="1"/>
  <c r="CE14" i="2" s="1"/>
  <c r="AG25" i="2" s="1"/>
  <c r="AG27" i="2" s="1"/>
  <c r="AG28" i="2" s="1"/>
  <c r="AJ12" i="2"/>
  <c r="AL11" i="2" l="1"/>
  <c r="AM11" i="2" s="1"/>
  <c r="AN11" i="2" s="1"/>
  <c r="AO11" i="2" s="1"/>
  <c r="AP11" i="2" s="1"/>
  <c r="AQ11" i="2" s="1"/>
  <c r="AR11" i="2" s="1"/>
  <c r="AS11" i="2" s="1"/>
  <c r="AT11" i="2" s="1"/>
  <c r="AU11" i="2" s="1"/>
  <c r="AV11" i="2" s="1"/>
  <c r="AW11" i="2" s="1"/>
  <c r="AX11" i="2" s="1"/>
  <c r="AY11" i="2" s="1"/>
  <c r="AZ11" i="2" s="1"/>
  <c r="BA11" i="2" s="1"/>
  <c r="BB11" i="2" s="1"/>
  <c r="BC11" i="2" s="1"/>
  <c r="BD11" i="2" s="1"/>
  <c r="BE11" i="2" s="1"/>
  <c r="BF11" i="2" s="1"/>
  <c r="BG11" i="2" s="1"/>
  <c r="BH11" i="2" s="1"/>
  <c r="BI11" i="2" s="1"/>
  <c r="BJ11" i="2" s="1"/>
  <c r="BK11" i="2" s="1"/>
  <c r="BL11" i="2" s="1"/>
  <c r="BM11" i="2" s="1"/>
  <c r="BN11" i="2" s="1"/>
  <c r="BO11" i="2" s="1"/>
  <c r="BP11" i="2" s="1"/>
  <c r="BQ11" i="2" s="1"/>
  <c r="BR11" i="2" s="1"/>
  <c r="BS11" i="2" s="1"/>
  <c r="BT11" i="2" s="1"/>
  <c r="BU11" i="2" s="1"/>
  <c r="BV11" i="2" s="1"/>
  <c r="BW11" i="2" s="1"/>
  <c r="BX11" i="2" s="1"/>
  <c r="BY11" i="2" s="1"/>
  <c r="BZ11" i="2" s="1"/>
  <c r="CA11" i="2" s="1"/>
  <c r="CB11" i="2" s="1"/>
  <c r="CC11" i="2" s="1"/>
  <c r="CD11" i="2" s="1"/>
  <c r="CE11" i="2" s="1"/>
  <c r="CF11" i="2" s="1"/>
  <c r="AC25" i="2" s="1"/>
  <c r="AC27" i="2" s="1"/>
  <c r="AC28" i="2" s="1"/>
  <c r="AK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tc={404C3A6C-57D9-462B-8169-03AF44C46401}</author>
    <author>tc={81C416ED-B805-4A5E-90CB-C684086667DC}</author>
  </authors>
  <commentList>
    <comment ref="K15" authorId="0" shapeId="0" xr:uid="{404C3A6C-57D9-462B-8169-03AF44C46401}">
      <text>
        <t>[Threaded comment]
Your version of Excel allows you to read this threaded comment; however, any edits to it will get removed if the file is opened in a newer version of Excel. Learn more: https://go.microsoft.com/fwlink/?linkid=870924
Comment:
    FQ22 guidance: 690-705</t>
      </text>
    </comment>
    <comment ref="L15" authorId="1" shapeId="0" xr:uid="{81C416ED-B805-4A5E-90CB-C684086667DC}">
      <text>
        <t>[Threaded comment]
Your version of Excel allows you to read this threaded comment; however, any edits to it will get removed if the file is opened in a newer version of Excel. Learn more: https://go.microsoft.com/fwlink/?linkid=870924
Comment:
    FQ322 guidance: 710-725</t>
      </text>
    </comment>
  </commentList>
</comments>
</file>

<file path=xl/sharedStrings.xml><?xml version="1.0" encoding="utf-8"?>
<sst xmlns="http://schemas.openxmlformats.org/spreadsheetml/2006/main" count="114" uniqueCount="96">
  <si>
    <t>Price</t>
  </si>
  <si>
    <t>Shares</t>
  </si>
  <si>
    <t>MC</t>
  </si>
  <si>
    <t>Cash</t>
  </si>
  <si>
    <t>Debt</t>
  </si>
  <si>
    <t>EV</t>
  </si>
  <si>
    <t>Main</t>
  </si>
  <si>
    <t>Revenue</t>
  </si>
  <si>
    <t>Subscription</t>
  </si>
  <si>
    <t>Maintenance</t>
  </si>
  <si>
    <t>Other</t>
  </si>
  <si>
    <t>Revenue Growth</t>
  </si>
  <si>
    <t>COGS</t>
  </si>
  <si>
    <t>Gross Margin</t>
  </si>
  <si>
    <t>R&amp;D</t>
  </si>
  <si>
    <t>M&amp;S</t>
  </si>
  <si>
    <t>G&amp;A</t>
  </si>
  <si>
    <t>OpEx</t>
  </si>
  <si>
    <t>OpInc</t>
  </si>
  <si>
    <t>Operating Margin</t>
  </si>
  <si>
    <t>Net Income</t>
  </si>
  <si>
    <t>Taxes</t>
  </si>
  <si>
    <t>Pretax Income</t>
  </si>
  <si>
    <t>Interest Income</t>
  </si>
  <si>
    <t>EPS</t>
  </si>
  <si>
    <t>CFFO</t>
  </si>
  <si>
    <t>Cloud</t>
  </si>
  <si>
    <t>Data Center</t>
  </si>
  <si>
    <t>Server</t>
  </si>
  <si>
    <t>Marketplace</t>
  </si>
  <si>
    <t>FQ322</t>
  </si>
  <si>
    <t>FQ222</t>
  </si>
  <si>
    <t>FQ122</t>
  </si>
  <si>
    <t>FQ421</t>
  </si>
  <si>
    <t>FQ321</t>
  </si>
  <si>
    <t>FQ221</t>
  </si>
  <si>
    <t>FQ121</t>
  </si>
  <si>
    <t>FQ420</t>
  </si>
  <si>
    <t>FQ320</t>
  </si>
  <si>
    <t>FQ422</t>
  </si>
  <si>
    <t>Jira</t>
  </si>
  <si>
    <t>Trello</t>
  </si>
  <si>
    <t>Confluence</t>
  </si>
  <si>
    <t>Bitbucket</t>
  </si>
  <si>
    <t>Cloud Growth</t>
  </si>
  <si>
    <t>Customers</t>
  </si>
  <si>
    <t>FQ123</t>
  </si>
  <si>
    <t>FQ223</t>
  </si>
  <si>
    <t>FQ323</t>
  </si>
  <si>
    <t>FQ423</t>
  </si>
  <si>
    <t>FQ124</t>
  </si>
  <si>
    <t>FQ224</t>
  </si>
  <si>
    <t>FQ324</t>
  </si>
  <si>
    <t>FQ424</t>
  </si>
  <si>
    <t>AR</t>
  </si>
  <si>
    <t>Prepaids</t>
  </si>
  <si>
    <t>PP&amp;E</t>
  </si>
  <si>
    <t>Lease</t>
  </si>
  <si>
    <t>Goodwill</t>
  </si>
  <si>
    <t>DTA</t>
  </si>
  <si>
    <t>ONCA</t>
  </si>
  <si>
    <t>Assets</t>
  </si>
  <si>
    <t>AP</t>
  </si>
  <si>
    <t>Accrued</t>
  </si>
  <si>
    <t>DR</t>
  </si>
  <si>
    <t>L+SE</t>
  </si>
  <si>
    <t>SE</t>
  </si>
  <si>
    <t>ONCL</t>
  </si>
  <si>
    <t>Model NI</t>
  </si>
  <si>
    <t>Reported NI</t>
  </si>
  <si>
    <t>D&amp;A</t>
  </si>
  <si>
    <t>SBC</t>
  </si>
  <si>
    <t>DT</t>
  </si>
  <si>
    <t>Debt Discount</t>
  </si>
  <si>
    <t>Interest Rate</t>
  </si>
  <si>
    <t>Strategic</t>
  </si>
  <si>
    <t>FX</t>
  </si>
  <si>
    <t>WC</t>
  </si>
  <si>
    <t>TTM CFFO</t>
  </si>
  <si>
    <t>FQ125</t>
  </si>
  <si>
    <t>FQ225</t>
  </si>
  <si>
    <t>FQ325</t>
  </si>
  <si>
    <t>FQ425</t>
  </si>
  <si>
    <t>Year</t>
  </si>
  <si>
    <t>YoY%</t>
  </si>
  <si>
    <t>Growth Rate</t>
  </si>
  <si>
    <t>Terminal Rate</t>
  </si>
  <si>
    <t>Discount Rate</t>
  </si>
  <si>
    <t>NPV</t>
  </si>
  <si>
    <t>Share Price</t>
  </si>
  <si>
    <t>Delta</t>
  </si>
  <si>
    <t>Target</t>
  </si>
  <si>
    <t>FCF</t>
  </si>
  <si>
    <t>FCF Margin</t>
  </si>
  <si>
    <t>FCF Yoy%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</si>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</sst>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m/d/yy;@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9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9" fontId="0" fillId="0" borderId="0" xfId="0" applyNumberFormat="1" applyAlignment="1">
      <alignment horizontal="right"/>
    </xf>
    <xf numFmtId="0" fontId="2" fillId="0" borderId="0" xfId="1"/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1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4" fontId="0" fillId="0" borderId="0" xfId="0" applyNumberFormat="1"/>
    <xf numFmtId="164" fontId="0" fillId="0" borderId="0" xfId="0" applyNumberFormat="1"/>
    <xf numFmtId="0" fontId="0" fillId="0" borderId="0" xfId="0" applyNumberFormat="1"/>
    <xf numFmtId="9" fontId="0" fillId="0" borderId="0" xfId="3" applyFont="1"/>
    <xf numFmtId="44" fontId="0" fillId="0" borderId="0" xfId="2" applyFont="1"/>
    <xf numFmtId="8" fontId="0" fillId="0" borderId="0" xfId="2" applyNumberFormat="1" applyFont="1"/>
  </cellXfs>
  <cellStyles count="4">
    <cellStyle name="Currency" xfId="2" builtinId="4"/>
    <cellStyle name="Hyperlink" xfId="1" builtinId="8"/>
    <cellStyle name="Normal" xfId="0" builtinId="0"/>
    <cellStyle name="Percent" xfId="3" builtinId="5"/>
  </cellStyles>
  <dxfs count="0"/>
  <tableStyles count="1" defaultTableStyle="TableStyleMedium2" defaultPivotStyle="PivotStyleLight16">
    <tableStyle name="Invisible" pivot="0" table="0" count="0" xr9:uid="{0BB7A767-F62A-4760-BB9F-9041954341D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17859</xdr:colOff>
      <xdr:row>0</xdr:row>
      <xdr:rowOff>0</xdr:rowOff>
    </xdr:from>
    <xdr:to>
      <xdr:col>22</xdr:col>
      <xdr:colOff>17859</xdr:colOff>
      <xdr:row>78</xdr:row>
      <xdr:rowOff>101203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0A7A9F4-4908-A3C2-0E4E-19EDBAE453CD}"/>
            </a:ext>
          </a:extLst>
        </xdr:cNvPr>
        <xdr:cNvCxnSpPr/>
      </xdr:nvCxnSpPr>
      <xdr:spPr>
        <a:xfrm>
          <a:off x="13918406" y="0"/>
          <a:ext cx="0" cy="1231701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691673F2-D878-4E73-9BD7-049390760563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5" dT="2022-07-27T14:40:47.90" personId="{691673F2-D878-4E73-9BD7-049390760563}" id="{404C3A6C-57D9-462B-8169-03AF44C46401}">
    <text>FQ22 guidance: 690-705</text>
  </threadedComment>
  <threadedComment ref="L15" dT="2022-07-27T14:37:17.16" personId="{691673F2-D878-4E73-9BD7-049390760563}" id="{81C416ED-B805-4A5E-90CB-C684086667DC}">
    <text>FQ322 guidance: 710-725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EAD64-12F8-4515-B4C9-2102128D3387}">
  <dimension ref="B2:M7"/>
  <sheetViews>
    <sheetView zoomScale="175" zoomScaleNormal="175" workbookViewId="0">
      <selection activeCell="L7" sqref="L7"/>
    </sheetView>
  </sheetViews>
  <sheetFormatPr defaultRowHeight="12.75" x14ac:dyDescent="0.2"/>
  <sheetData>
    <row r="2" spans="2:13" x14ac:dyDescent="0.2">
      <c r="B2" t="s">
        <v>40</v>
      </c>
      <c r="K2" t="s">
        <v>0</v>
      </c>
      <c r="L2" s="13">
        <v>149.52000000000001</v>
      </c>
    </row>
    <row r="3" spans="2:13" x14ac:dyDescent="0.2">
      <c r="B3" t="s">
        <v>41</v>
      </c>
      <c r="K3" t="s">
        <v>1</v>
      </c>
      <c r="L3" s="1">
        <f>Model!X28</f>
        <v>261.78699999999998</v>
      </c>
      <c r="M3" s="3"/>
    </row>
    <row r="4" spans="2:13" x14ac:dyDescent="0.2">
      <c r="B4" t="s">
        <v>42</v>
      </c>
      <c r="K4" t="s">
        <v>2</v>
      </c>
      <c r="L4" s="1">
        <f>+L2*L3</f>
        <v>39142.392240000001</v>
      </c>
    </row>
    <row r="5" spans="2:13" x14ac:dyDescent="0.2">
      <c r="B5" t="s">
        <v>43</v>
      </c>
      <c r="K5" t="s">
        <v>3</v>
      </c>
      <c r="L5" s="1">
        <v>2512.8739999999998</v>
      </c>
      <c r="M5" s="3"/>
    </row>
    <row r="6" spans="2:13" x14ac:dyDescent="0.2">
      <c r="K6" t="s">
        <v>4</v>
      </c>
      <c r="L6" s="1">
        <v>953.85699999999997</v>
      </c>
      <c r="M6" s="3"/>
    </row>
    <row r="7" spans="2:13" x14ac:dyDescent="0.2">
      <c r="K7" t="s">
        <v>5</v>
      </c>
      <c r="L7" s="1">
        <f>+L4-L5+L6</f>
        <v>37583.375240000008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9F7FA-B9F0-42C1-B494-BA78776DB519}">
  <dimension ref="A1:CF69"/>
  <sheetViews>
    <sheetView tabSelected="1" zoomScale="160" zoomScaleNormal="160" workbookViewId="0">
      <pane xSplit="2" ySplit="2" topLeftCell="Y6" activePane="bottomRight" state="frozen"/>
      <selection pane="topRight" activeCell="C1" sqref="C1"/>
      <selection pane="bottomLeft" activeCell="A3" sqref="A3"/>
      <selection pane="bottomRight" activeCell="AF11" sqref="AF11"/>
    </sheetView>
  </sheetViews>
  <sheetFormatPr defaultRowHeight="12.75" x14ac:dyDescent="0.2"/>
  <cols>
    <col min="1" max="1" width="5" bestFit="1" customWidth="1"/>
    <col min="2" max="2" width="17" customWidth="1"/>
    <col min="3" max="5" width="9.140625" style="2"/>
    <col min="6" max="6" width="10.140625" style="2" bestFit="1" customWidth="1"/>
    <col min="7" max="9" width="9.140625" style="2"/>
    <col min="10" max="10" width="10.140625" style="2" bestFit="1" customWidth="1"/>
    <col min="11" max="14" width="9.140625" style="2"/>
    <col min="16" max="20" width="9.5703125" customWidth="1"/>
    <col min="28" max="28" width="12.7109375" bestFit="1" customWidth="1"/>
    <col min="29" max="29" width="12.85546875" bestFit="1" customWidth="1"/>
    <col min="32" max="32" width="12.7109375" bestFit="1" customWidth="1"/>
    <col min="33" max="33" width="11.140625" bestFit="1" customWidth="1"/>
  </cols>
  <sheetData>
    <row r="1" spans="1:84" x14ac:dyDescent="0.2">
      <c r="A1" s="7" t="s">
        <v>6</v>
      </c>
      <c r="D1" s="12">
        <v>44012</v>
      </c>
      <c r="E1" s="12">
        <v>44104</v>
      </c>
      <c r="F1" s="12">
        <v>44196</v>
      </c>
      <c r="G1" s="12">
        <v>44286</v>
      </c>
      <c r="H1" s="12">
        <v>44377</v>
      </c>
      <c r="I1" s="12">
        <v>44469</v>
      </c>
      <c r="J1" s="12">
        <v>44561</v>
      </c>
      <c r="K1" s="12">
        <v>44651</v>
      </c>
      <c r="L1" s="12">
        <v>44742</v>
      </c>
      <c r="M1" s="12">
        <v>44834</v>
      </c>
      <c r="N1" s="12">
        <v>44926</v>
      </c>
      <c r="O1" s="12">
        <v>45016</v>
      </c>
      <c r="P1" s="12">
        <v>45107</v>
      </c>
      <c r="Q1" s="12">
        <v>45199</v>
      </c>
      <c r="R1" s="12">
        <v>45291</v>
      </c>
      <c r="S1" s="14">
        <v>45382</v>
      </c>
      <c r="T1" s="14">
        <v>45473</v>
      </c>
      <c r="U1" s="14">
        <v>45565</v>
      </c>
      <c r="V1" s="14">
        <v>45657</v>
      </c>
      <c r="W1" s="14">
        <v>45747</v>
      </c>
      <c r="X1" s="14">
        <v>45838</v>
      </c>
    </row>
    <row r="2" spans="1:84" x14ac:dyDescent="0.2">
      <c r="C2" s="2" t="s">
        <v>38</v>
      </c>
      <c r="D2" s="2" t="s">
        <v>37</v>
      </c>
      <c r="E2" s="2" t="s">
        <v>36</v>
      </c>
      <c r="F2" s="2" t="s">
        <v>35</v>
      </c>
      <c r="G2" s="2" t="s">
        <v>34</v>
      </c>
      <c r="H2" s="2" t="s">
        <v>33</v>
      </c>
      <c r="I2" s="2" t="s">
        <v>32</v>
      </c>
      <c r="J2" s="2" t="s">
        <v>31</v>
      </c>
      <c r="K2" s="2" t="s">
        <v>30</v>
      </c>
      <c r="L2" s="2" t="s">
        <v>39</v>
      </c>
      <c r="M2" s="2" t="s">
        <v>46</v>
      </c>
      <c r="N2" s="2" t="s">
        <v>47</v>
      </c>
      <c r="O2" s="2" t="s">
        <v>48</v>
      </c>
      <c r="P2" s="2" t="s">
        <v>49</v>
      </c>
      <c r="Q2" s="2" t="s">
        <v>50</v>
      </c>
      <c r="R2" s="2" t="s">
        <v>51</v>
      </c>
      <c r="S2" s="2" t="s">
        <v>52</v>
      </c>
      <c r="T2" s="2" t="s">
        <v>53</v>
      </c>
      <c r="U2" s="2" t="s">
        <v>79</v>
      </c>
      <c r="V2" s="2" t="s">
        <v>80</v>
      </c>
      <c r="W2" s="2" t="s">
        <v>81</v>
      </c>
      <c r="X2" s="2" t="s">
        <v>82</v>
      </c>
    </row>
    <row r="3" spans="1:84" x14ac:dyDescent="0.2">
      <c r="B3" t="s">
        <v>45</v>
      </c>
      <c r="E3" s="3">
        <v>166180</v>
      </c>
      <c r="F3" s="3">
        <v>174948</v>
      </c>
      <c r="G3" s="3">
        <v>188033</v>
      </c>
      <c r="H3" s="3">
        <v>204754</v>
      </c>
      <c r="I3" s="3">
        <v>216500</v>
      </c>
      <c r="J3" s="3">
        <v>226521</v>
      </c>
      <c r="K3" s="3">
        <v>234575</v>
      </c>
      <c r="L3" s="3">
        <v>242623</v>
      </c>
      <c r="M3" s="3">
        <v>249173</v>
      </c>
      <c r="N3" s="3">
        <v>253177</v>
      </c>
    </row>
    <row r="7" spans="1:84" s="1" customFormat="1" x14ac:dyDescent="0.2">
      <c r="B7" s="1" t="s">
        <v>26</v>
      </c>
      <c r="C7" s="3"/>
      <c r="D7" s="3"/>
      <c r="E7" s="3">
        <v>207.32</v>
      </c>
      <c r="F7" s="3">
        <v>230.41200000000001</v>
      </c>
      <c r="G7" s="3">
        <v>249.87899999999999</v>
      </c>
      <c r="H7" s="3"/>
      <c r="I7" s="3">
        <v>317.90300000000002</v>
      </c>
      <c r="J7" s="3">
        <v>364.09899999999999</v>
      </c>
      <c r="K7" s="3">
        <v>399.45299999999997</v>
      </c>
      <c r="L7" s="3"/>
      <c r="M7" s="3"/>
      <c r="N7" s="3">
        <v>512.33500000000004</v>
      </c>
      <c r="Q7" s="1">
        <v>604.64700000000005</v>
      </c>
      <c r="R7" s="1">
        <v>653.21</v>
      </c>
      <c r="U7" s="1">
        <v>792.30600000000004</v>
      </c>
      <c r="V7" s="1">
        <v>846.96199999999999</v>
      </c>
    </row>
    <row r="8" spans="1:84" s="1" customFormat="1" x14ac:dyDescent="0.2">
      <c r="B8" s="1" t="s">
        <v>27</v>
      </c>
      <c r="C8" s="3"/>
      <c r="D8" s="3"/>
      <c r="E8" s="3">
        <v>66.349000000000004</v>
      </c>
      <c r="F8" s="3">
        <v>76.06</v>
      </c>
      <c r="G8" s="3">
        <v>94.739000000000004</v>
      </c>
      <c r="H8" s="3"/>
      <c r="I8" s="3">
        <v>111.19499999999999</v>
      </c>
      <c r="J8" s="3">
        <v>139.108</v>
      </c>
      <c r="K8" s="3">
        <v>151.095</v>
      </c>
      <c r="L8" s="3"/>
      <c r="M8" s="3"/>
      <c r="N8" s="3">
        <v>194.26400000000001</v>
      </c>
      <c r="Q8" s="1">
        <v>242.94300000000001</v>
      </c>
      <c r="R8" s="1">
        <v>274.75799999999998</v>
      </c>
      <c r="U8" s="1">
        <v>335.59399999999999</v>
      </c>
      <c r="V8" s="1">
        <v>362.28100000000001</v>
      </c>
    </row>
    <row r="9" spans="1:84" s="1" customFormat="1" x14ac:dyDescent="0.2">
      <c r="B9" s="1" t="s">
        <v>28</v>
      </c>
      <c r="C9" s="3"/>
      <c r="D9" s="3"/>
      <c r="E9" s="3">
        <v>149.83099999999999</v>
      </c>
      <c r="F9" s="3">
        <v>153.339</v>
      </c>
      <c r="G9" s="3">
        <v>164.22900000000001</v>
      </c>
      <c r="H9" s="3"/>
      <c r="I9" s="3">
        <v>139.547</v>
      </c>
      <c r="J9" s="3">
        <v>135.51900000000001</v>
      </c>
      <c r="K9" s="3">
        <v>132.333</v>
      </c>
      <c r="L9" s="3"/>
      <c r="M9" s="3"/>
      <c r="N9" s="3">
        <v>106.16800000000001</v>
      </c>
      <c r="Q9" s="1">
        <v>78.751999999999995</v>
      </c>
      <c r="R9" s="1">
        <v>69.173000000000002</v>
      </c>
    </row>
    <row r="10" spans="1:84" s="1" customFormat="1" x14ac:dyDescent="0.2">
      <c r="B10" s="1" t="s">
        <v>29</v>
      </c>
      <c r="C10" s="3"/>
      <c r="D10" s="3"/>
      <c r="E10" s="3">
        <v>36.006</v>
      </c>
      <c r="F10" s="3">
        <v>41.488</v>
      </c>
      <c r="G10" s="3">
        <v>59.881</v>
      </c>
      <c r="H10" s="3"/>
      <c r="I10" s="3">
        <v>45.378999999999998</v>
      </c>
      <c r="J10" s="3">
        <v>49.8</v>
      </c>
      <c r="K10" s="3">
        <v>57.61</v>
      </c>
      <c r="L10" s="3"/>
      <c r="M10" s="3"/>
      <c r="N10" s="3">
        <v>59.936999999999998</v>
      </c>
      <c r="Q10" s="1">
        <v>51.433</v>
      </c>
      <c r="R10" s="1">
        <v>62.969000000000001</v>
      </c>
      <c r="U10" s="1">
        <v>59.881</v>
      </c>
      <c r="V10" s="1">
        <v>77.22</v>
      </c>
      <c r="AA10" s="1" t="s">
        <v>83</v>
      </c>
      <c r="AB10" s="15">
        <v>2021</v>
      </c>
      <c r="AC10" s="15">
        <v>2022</v>
      </c>
      <c r="AD10" s="15">
        <v>2023</v>
      </c>
      <c r="AE10" s="15">
        <v>2024</v>
      </c>
      <c r="AF10" s="15">
        <v>2025</v>
      </c>
      <c r="AG10" s="15">
        <v>2026</v>
      </c>
      <c r="AH10" s="15">
        <v>2027</v>
      </c>
      <c r="AI10" s="15">
        <v>2028</v>
      </c>
      <c r="AJ10" s="15">
        <v>2029</v>
      </c>
      <c r="AK10" s="15">
        <v>2030</v>
      </c>
      <c r="AL10" s="15">
        <v>2031</v>
      </c>
      <c r="AM10" s="15">
        <v>2032</v>
      </c>
    </row>
    <row r="11" spans="1:84" x14ac:dyDescent="0.2">
      <c r="AA11" t="s">
        <v>7</v>
      </c>
      <c r="AB11" s="1">
        <f>SUM(E15:H15)</f>
        <v>2089.1320000000001</v>
      </c>
      <c r="AC11" s="1">
        <f>SUM(I15:L15)</f>
        <v>2802.8820000000001</v>
      </c>
      <c r="AD11" s="1">
        <f>SUM(M15:P15)</f>
        <v>3534.6469999999999</v>
      </c>
      <c r="AE11" s="1">
        <f>SUM(Q15:T15)</f>
        <v>4358.6030000000001</v>
      </c>
      <c r="AF11" s="1">
        <f>SUM(U15:X15)</f>
        <v>5215.3040000000001</v>
      </c>
      <c r="AG11">
        <f>AF11*(1+$AC$22)</f>
        <v>6154.05872</v>
      </c>
      <c r="AH11">
        <f>AG11*(1+$AC$22)</f>
        <v>7261.7892895999994</v>
      </c>
      <c r="AI11">
        <f>AH11*(1+$AC$22)</f>
        <v>8568.9113617279982</v>
      </c>
      <c r="AJ11">
        <f>AI11*(1+$AC$22)</f>
        <v>10111.315406839038</v>
      </c>
      <c r="AK11">
        <f>AJ11*(1+$AC$22)</f>
        <v>11931.352180070064</v>
      </c>
      <c r="AL11">
        <f>AK11*(1+$AC$23)</f>
        <v>12050.665701870765</v>
      </c>
      <c r="AM11">
        <f>AL11*(1+$AC$23)</f>
        <v>12171.172358889473</v>
      </c>
      <c r="AN11">
        <f>AM11*(1+$AC$23)</f>
        <v>12292.884082478367</v>
      </c>
      <c r="AO11">
        <f>AN11*(1+$AC$23)</f>
        <v>12415.81292330315</v>
      </c>
      <c r="AP11">
        <f>AO11*(1+$AC$23)</f>
        <v>12539.971052536182</v>
      </c>
      <c r="AQ11">
        <f>AP11*(1+$AC$23)</f>
        <v>12665.370763061544</v>
      </c>
      <c r="AR11">
        <f>AQ11*(1+$AC$23)</f>
        <v>12792.02447069216</v>
      </c>
      <c r="AS11">
        <f>AR11*(1+$AC$23)</f>
        <v>12919.944715399082</v>
      </c>
      <c r="AT11">
        <f>AS11*(1+$AC$23)</f>
        <v>13049.144162553073</v>
      </c>
      <c r="AU11">
        <f>AT11*(1+$AC$23)</f>
        <v>13179.635604178604</v>
      </c>
      <c r="AV11">
        <f>AU11*(1+$AC$23)</f>
        <v>13311.43196022039</v>
      </c>
      <c r="AW11">
        <f>AV11*(1+$AC$23)</f>
        <v>13444.546279822594</v>
      </c>
      <c r="AX11">
        <f>AW11*(1+$AC$23)</f>
        <v>13578.991742620821</v>
      </c>
      <c r="AY11">
        <f>AX11*(1+$AC$23)</f>
        <v>13714.781660047029</v>
      </c>
      <c r="AZ11">
        <f>AY11*(1+$AC$23)</f>
        <v>13851.9294766475</v>
      </c>
      <c r="BA11">
        <f>AZ11*(1+$AC$23)</f>
        <v>13990.448771413974</v>
      </c>
      <c r="BB11">
        <f>BA11*(1+$AC$23)</f>
        <v>14130.353259128115</v>
      </c>
      <c r="BC11">
        <f>BB11*(1+$AC$23)</f>
        <v>14271.656791719395</v>
      </c>
      <c r="BD11">
        <f>BC11*(1+$AC$23)</f>
        <v>14414.373359636589</v>
      </c>
      <c r="BE11">
        <f>BD11*(1+$AC$23)</f>
        <v>14558.517093232955</v>
      </c>
      <c r="BF11">
        <f>BE11*(1+$AC$23)</f>
        <v>14704.102264165285</v>
      </c>
      <c r="BG11">
        <f>BF11*(1+$AC$23)</f>
        <v>14851.143286806939</v>
      </c>
      <c r="BH11">
        <f>BG11*(1+$AC$23)</f>
        <v>14999.654719675009</v>
      </c>
      <c r="BI11">
        <f>BH11*(1+$AC$23)</f>
        <v>15149.651266871759</v>
      </c>
      <c r="BJ11">
        <f>BI11*(1+$AC$23)</f>
        <v>15301.147779540477</v>
      </c>
      <c r="BK11">
        <f>BJ11*(1+$AC$23)</f>
        <v>15454.159257335881</v>
      </c>
      <c r="BL11">
        <f>BK11*(1+$AC$23)</f>
        <v>15608.700849909241</v>
      </c>
      <c r="BM11">
        <f>BL11*(1+$AC$23)</f>
        <v>15764.787858408334</v>
      </c>
      <c r="BN11">
        <f>BM11*(1+$AC$23)</f>
        <v>15922.435736992416</v>
      </c>
      <c r="BO11">
        <f>BN11*(1+$AC$23)</f>
        <v>16081.660094362342</v>
      </c>
      <c r="BP11">
        <f>BO11*(1+$AC$23)</f>
        <v>16242.476695305964</v>
      </c>
      <c r="BQ11">
        <f>BP11*(1+$AC$23)</f>
        <v>16404.901462259026</v>
      </c>
      <c r="BR11">
        <f>BQ11*(1+$AC$23)</f>
        <v>16568.950476881615</v>
      </c>
      <c r="BS11">
        <f>BR11*(1+$AC$23)</f>
        <v>16734.639981650431</v>
      </c>
      <c r="BT11">
        <f>BS11*(1+$AC$23)</f>
        <v>16901.986381466937</v>
      </c>
      <c r="BU11">
        <f>BT11*(1+$AC$23)</f>
        <v>17071.006245281606</v>
      </c>
      <c r="BV11">
        <f>BU11*(1+$AC$23)</f>
        <v>17241.716307734423</v>
      </c>
      <c r="BW11">
        <f>BV11*(1+$AC$23)</f>
        <v>17414.133470811768</v>
      </c>
      <c r="BX11">
        <f>BW11*(1+$AC$23)</f>
        <v>17588.274805519886</v>
      </c>
      <c r="BY11">
        <f>BX11*(1+$AC$23)</f>
        <v>17764.157553575085</v>
      </c>
      <c r="BZ11">
        <f>BY11*(1+$AC$23)</f>
        <v>17941.799129110837</v>
      </c>
      <c r="CA11">
        <f>BZ11*(1+$AC$23)</f>
        <v>18121.217120401947</v>
      </c>
      <c r="CB11">
        <f>CA11*(1+$AC$23)</f>
        <v>18302.429291605968</v>
      </c>
      <c r="CC11">
        <f>CB11*(1+$AC$23)</f>
        <v>18485.453584522027</v>
      </c>
      <c r="CD11">
        <f>CC11*(1+$AC$23)</f>
        <v>18670.308120367248</v>
      </c>
      <c r="CE11">
        <f>CD11*(1+$AC$23)</f>
        <v>18857.01120157092</v>
      </c>
      <c r="CF11">
        <f>CE11*(1+$AC$23)</f>
        <v>19045.58131358663</v>
      </c>
    </row>
    <row r="12" spans="1:84" s="1" customFormat="1" x14ac:dyDescent="0.2">
      <c r="B12" s="1" t="s">
        <v>8</v>
      </c>
      <c r="C12" s="3"/>
      <c r="D12" s="3">
        <v>257.52100000000002</v>
      </c>
      <c r="E12" s="3">
        <v>277.964</v>
      </c>
      <c r="F12" s="3">
        <v>310.67500000000001</v>
      </c>
      <c r="G12" s="3">
        <v>349.91500000000002</v>
      </c>
      <c r="H12" s="3">
        <v>385.51</v>
      </c>
      <c r="I12" s="3">
        <v>435.29599999999999</v>
      </c>
      <c r="J12" s="3">
        <v>508.98700000000002</v>
      </c>
      <c r="K12" s="3">
        <v>555.12599999999998</v>
      </c>
      <c r="L12" s="3">
        <v>597.29700000000003</v>
      </c>
      <c r="M12" s="3">
        <v>650.98400000000004</v>
      </c>
      <c r="N12" s="3">
        <v>711.19899999999996</v>
      </c>
      <c r="O12" s="1">
        <v>760.68</v>
      </c>
      <c r="P12" s="1">
        <v>799.71299999999997</v>
      </c>
      <c r="Q12" s="1">
        <v>851.98199999999997</v>
      </c>
      <c r="R12" s="1">
        <v>932.18100000000004</v>
      </c>
      <c r="S12" s="1">
        <v>1071.355</v>
      </c>
      <c r="T12" s="1">
        <v>1068.8710000000001</v>
      </c>
      <c r="U12" s="1">
        <v>1131.9480000000001</v>
      </c>
      <c r="V12" s="1">
        <v>1213.248</v>
      </c>
      <c r="W12" s="1">
        <v>1272.876</v>
      </c>
      <c r="X12" s="9">
        <f>4930.604-SUM(U12:W12)</f>
        <v>1312.5320000000002</v>
      </c>
      <c r="AA12" s="1" t="s">
        <v>84</v>
      </c>
      <c r="AC12" s="16">
        <f>(AC11-AB11)/AB11</f>
        <v>0.34164906765106273</v>
      </c>
      <c r="AD12" s="16">
        <f>(AD11-AC11)/AC11</f>
        <v>0.26107592114116823</v>
      </c>
      <c r="AE12" s="16">
        <f>(AE11-AD11)/AD11</f>
        <v>0.23310842638600124</v>
      </c>
      <c r="AF12" s="16">
        <f>(AF11-AE11)/AE11</f>
        <v>0.19655403348274667</v>
      </c>
      <c r="AG12" s="16">
        <f>(AG11-AF11)/AF11</f>
        <v>0.17999999999999997</v>
      </c>
      <c r="AH12" s="16">
        <f>(AH11-AG11)/AG11</f>
        <v>0.17999999999999991</v>
      </c>
      <c r="AI12" s="16">
        <f>(AI11-AH11)/AH11</f>
        <v>0.17999999999999985</v>
      </c>
      <c r="AJ12" s="16">
        <f>(AJ11-AI11)/AI11</f>
        <v>0.18</v>
      </c>
      <c r="AK12" s="16">
        <f>(AK11-AJ11)/AJ11</f>
        <v>0.17999999999999994</v>
      </c>
    </row>
    <row r="13" spans="1:84" s="1" customFormat="1" x14ac:dyDescent="0.2">
      <c r="B13" s="1" t="s">
        <v>9</v>
      </c>
      <c r="C13" s="3"/>
      <c r="D13" s="3">
        <v>122.774</v>
      </c>
      <c r="E13" s="3">
        <v>127.694</v>
      </c>
      <c r="F13" s="3">
        <v>131.27600000000001</v>
      </c>
      <c r="G13" s="3">
        <v>132.92099999999999</v>
      </c>
      <c r="H13" s="3">
        <v>131.08000000000001</v>
      </c>
      <c r="I13" s="3">
        <v>130.59</v>
      </c>
      <c r="J13" s="3">
        <v>127.059</v>
      </c>
      <c r="K13" s="3">
        <v>120.333</v>
      </c>
      <c r="L13" s="3">
        <v>117.095</v>
      </c>
      <c r="M13" s="3">
        <v>113.565</v>
      </c>
      <c r="N13" s="3">
        <v>106.023</v>
      </c>
      <c r="O13" s="1">
        <v>94.224999999999994</v>
      </c>
      <c r="P13" s="1">
        <v>85.924999999999997</v>
      </c>
      <c r="Q13" s="1">
        <v>78.597999999999999</v>
      </c>
      <c r="R13" s="1">
        <v>69.102000000000004</v>
      </c>
      <c r="S13" s="1">
        <v>29.53</v>
      </c>
      <c r="AA13" s="8" t="s">
        <v>91</v>
      </c>
      <c r="AJ13" s="1">
        <v>10000</v>
      </c>
    </row>
    <row r="14" spans="1:84" s="1" customFormat="1" x14ac:dyDescent="0.2">
      <c r="B14" s="1" t="s">
        <v>10</v>
      </c>
      <c r="C14" s="3"/>
      <c r="D14" s="3">
        <f>20.365+29.816</f>
        <v>50.180999999999997</v>
      </c>
      <c r="E14" s="3">
        <v>53.847999999999999</v>
      </c>
      <c r="F14" s="3">
        <v>59.408000000000001</v>
      </c>
      <c r="G14" s="3">
        <v>85.891999999999996</v>
      </c>
      <c r="H14" s="3">
        <f>9.237+33.712</f>
        <v>42.949000000000005</v>
      </c>
      <c r="I14" s="3">
        <v>48.137999999999998</v>
      </c>
      <c r="J14" s="3">
        <v>52.48</v>
      </c>
      <c r="K14" s="3">
        <v>65.031999999999996</v>
      </c>
      <c r="L14" s="3">
        <v>45.448999999999998</v>
      </c>
      <c r="M14" s="3">
        <v>42.843000000000004</v>
      </c>
      <c r="N14" s="3">
        <v>55.481999999999999</v>
      </c>
      <c r="O14" s="1">
        <v>60.548000000000002</v>
      </c>
      <c r="P14" s="1">
        <v>53.46</v>
      </c>
      <c r="Q14" s="1">
        <v>47.195</v>
      </c>
      <c r="R14" s="1">
        <v>58.826999999999998</v>
      </c>
      <c r="S14" s="1">
        <v>88.242999999999995</v>
      </c>
      <c r="T14" s="1">
        <v>62.719000000000001</v>
      </c>
      <c r="U14" s="1">
        <v>55.832999999999998</v>
      </c>
      <c r="V14" s="1">
        <v>73.215000000000003</v>
      </c>
      <c r="W14" s="1">
        <v>83.84</v>
      </c>
      <c r="X14" s="1">
        <f>284.7-SUM(U14:W14)</f>
        <v>71.811999999999983</v>
      </c>
      <c r="AA14" s="1" t="s">
        <v>92</v>
      </c>
      <c r="AB14" s="1">
        <v>763.77099999999996</v>
      </c>
      <c r="AC14" s="1">
        <v>842.45899999999995</v>
      </c>
      <c r="AD14" s="1">
        <v>1415.5820000000001</v>
      </c>
      <c r="AE14" s="1">
        <v>1681</v>
      </c>
      <c r="AF14" s="1">
        <f>SUM(U35:X35)</f>
        <v>1415.5430000000001</v>
      </c>
      <c r="AG14" s="1">
        <f>AG11*0.32</f>
        <v>1969.2987904000001</v>
      </c>
      <c r="AH14" s="1">
        <f>AH11*0.32</f>
        <v>2323.772572672</v>
      </c>
      <c r="AI14" s="1">
        <f>AI11*0.32</f>
        <v>2742.0516357529596</v>
      </c>
      <c r="AJ14" s="1">
        <f>AJ11*0.32</f>
        <v>3235.6209301884919</v>
      </c>
      <c r="AK14">
        <f>AJ14*(1+$AG$23)</f>
        <v>3267.9771394903769</v>
      </c>
      <c r="AL14">
        <f>AK14*(1+$AG$23)</f>
        <v>3300.6569108852805</v>
      </c>
      <c r="AM14">
        <f>AL14*(1+$AG$23)</f>
        <v>3333.6634799941335</v>
      </c>
      <c r="AN14">
        <f>AM14*(1+$AG$23)</f>
        <v>3367.0001147940748</v>
      </c>
      <c r="AO14">
        <f>AN14*(1+$AG$23)</f>
        <v>3400.6701159420154</v>
      </c>
      <c r="AP14">
        <f>AO14*(1+$AG$23)</f>
        <v>3434.6768171014355</v>
      </c>
      <c r="AQ14">
        <f>AP14*(1+$AG$23)</f>
        <v>3469.02358527245</v>
      </c>
      <c r="AR14">
        <f>AQ14*(1+$AG$23)</f>
        <v>3503.7138211251745</v>
      </c>
      <c r="AS14">
        <f>AR14*(1+$AG$23)</f>
        <v>3538.7509593364261</v>
      </c>
      <c r="AT14">
        <f>AS14*(1+$AG$23)</f>
        <v>3574.1384689297906</v>
      </c>
      <c r="AU14">
        <f>AT14*(1+$AG$23)</f>
        <v>3609.8798536190884</v>
      </c>
      <c r="AV14">
        <f>AU14*(1+$AG$23)</f>
        <v>3645.9786521552792</v>
      </c>
      <c r="AW14">
        <f>AV14*(1+$AG$23)</f>
        <v>3682.438438676832</v>
      </c>
      <c r="AX14">
        <f>AW14*(1+$AG$23)</f>
        <v>3719.2628230636005</v>
      </c>
      <c r="AY14">
        <f>AX14*(1+$AG$23)</f>
        <v>3756.4554512942364</v>
      </c>
      <c r="AZ14">
        <f>AY14*(1+$AG$23)</f>
        <v>3794.0200058071787</v>
      </c>
      <c r="BA14">
        <f>AZ14*(1+$AG$23)</f>
        <v>3831.9602058652504</v>
      </c>
      <c r="BB14">
        <f>BA14*(1+$AG$23)</f>
        <v>3870.2798079239028</v>
      </c>
      <c r="BC14">
        <f>BB14*(1+$AG$23)</f>
        <v>3908.9826060031419</v>
      </c>
      <c r="BD14">
        <f>BC14*(1+$AG$23)</f>
        <v>3948.0724320631734</v>
      </c>
      <c r="BE14">
        <f>BD14*(1+$AG$23)</f>
        <v>3987.5531563838053</v>
      </c>
      <c r="BF14">
        <f>BE14*(1+$AG$23)</f>
        <v>4027.4286879476435</v>
      </c>
      <c r="BG14">
        <f>BF14*(1+$AG$23)</f>
        <v>4067.7029748271202</v>
      </c>
      <c r="BH14">
        <f>BG14*(1+$AG$23)</f>
        <v>4108.3800045753915</v>
      </c>
      <c r="BI14">
        <f>BH14*(1+$AG$23)</f>
        <v>4149.4638046211458</v>
      </c>
      <c r="BJ14">
        <f>BI14*(1+$AG$23)</f>
        <v>4190.9584426673573</v>
      </c>
      <c r="BK14">
        <f>BJ14*(1+$AG$23)</f>
        <v>4232.8680270940313</v>
      </c>
      <c r="BL14">
        <f>BK14*(1+$AG$23)</f>
        <v>4275.1967073649712</v>
      </c>
      <c r="BM14">
        <f>BL14*(1+$AG$23)</f>
        <v>4317.9486744386213</v>
      </c>
      <c r="BN14">
        <f>BM14*(1+$AG$23)</f>
        <v>4361.1281611830073</v>
      </c>
      <c r="BO14">
        <f>BN14*(1+$AG$23)</f>
        <v>4404.7394427948375</v>
      </c>
      <c r="BP14">
        <f>BO14*(1+$AG$23)</f>
        <v>4448.7868372227858</v>
      </c>
      <c r="BQ14">
        <f>BP14*(1+$AG$23)</f>
        <v>4493.274705595014</v>
      </c>
      <c r="BR14">
        <f>BQ14*(1+$AG$23)</f>
        <v>4538.2074526509641</v>
      </c>
      <c r="BS14">
        <f>BR14*(1+$AG$23)</f>
        <v>4583.5895271774734</v>
      </c>
      <c r="BT14">
        <f>BS14*(1+$AG$23)</f>
        <v>4629.4254224492479</v>
      </c>
      <c r="BU14">
        <f>BT14*(1+$AG$23)</f>
        <v>4675.7196766737407</v>
      </c>
      <c r="BV14">
        <f>BU14*(1+$AG$23)</f>
        <v>4722.4768734404779</v>
      </c>
      <c r="BW14">
        <f>BV14*(1+$AG$23)</f>
        <v>4769.7016421748831</v>
      </c>
      <c r="BX14">
        <f>BW14*(1+$AG$23)</f>
        <v>4817.3986585966322</v>
      </c>
      <c r="BY14">
        <f>BX14*(1+$AG$23)</f>
        <v>4865.5726451825985</v>
      </c>
      <c r="BZ14">
        <f>BY14*(1+$AG$23)</f>
        <v>4914.2283716344245</v>
      </c>
      <c r="CA14">
        <f>BZ14*(1+$AG$23)</f>
        <v>4963.3706553507691</v>
      </c>
      <c r="CB14">
        <f>CA14*(1+$AG$23)</f>
        <v>5013.0043619042772</v>
      </c>
      <c r="CC14">
        <f>CB14*(1+$AG$23)</f>
        <v>5063.1344055233203</v>
      </c>
      <c r="CD14">
        <f>CC14*(1+$AG$23)</f>
        <v>5113.7657495785534</v>
      </c>
      <c r="CE14">
        <f>CD14*(1+$AG$23)</f>
        <v>5164.9034070743392</v>
      </c>
    </row>
    <row r="15" spans="1:84" s="8" customFormat="1" x14ac:dyDescent="0.2">
      <c r="B15" s="8" t="s">
        <v>7</v>
      </c>
      <c r="C15" s="9"/>
      <c r="D15" s="9">
        <f t="shared" ref="D15:K15" si="0">SUM(D12:D14)</f>
        <v>430.476</v>
      </c>
      <c r="E15" s="9">
        <f t="shared" si="0"/>
        <v>459.50600000000003</v>
      </c>
      <c r="F15" s="9">
        <f t="shared" si="0"/>
        <v>501.35900000000004</v>
      </c>
      <c r="G15" s="9">
        <f t="shared" si="0"/>
        <v>568.72800000000007</v>
      </c>
      <c r="H15" s="9">
        <f t="shared" si="0"/>
        <v>559.53899999999999</v>
      </c>
      <c r="I15" s="9">
        <f t="shared" si="0"/>
        <v>614.024</v>
      </c>
      <c r="J15" s="9">
        <f t="shared" si="0"/>
        <v>688.52600000000007</v>
      </c>
      <c r="K15" s="9">
        <f t="shared" si="0"/>
        <v>740.49099999999999</v>
      </c>
      <c r="L15" s="9">
        <f>SUM(L12:L14)</f>
        <v>759.84100000000001</v>
      </c>
      <c r="M15" s="9">
        <f t="shared" ref="M15:X15" si="1">SUM(M12:M14)</f>
        <v>807.39199999999994</v>
      </c>
      <c r="N15" s="9">
        <f t="shared" si="1"/>
        <v>872.70399999999995</v>
      </c>
      <c r="O15" s="9">
        <f t="shared" ref="O15:P15" si="2">SUM(O12:O14)</f>
        <v>915.45299999999997</v>
      </c>
      <c r="P15" s="9">
        <f t="shared" si="2"/>
        <v>939.09799999999996</v>
      </c>
      <c r="Q15" s="9">
        <f t="shared" si="1"/>
        <v>977.77499999999998</v>
      </c>
      <c r="R15" s="9">
        <f t="shared" ref="R15:S15" si="3">SUM(R12:R14)</f>
        <v>1060.1100000000001</v>
      </c>
      <c r="S15" s="9">
        <f t="shared" si="3"/>
        <v>1189.1279999999999</v>
      </c>
      <c r="T15" s="9">
        <f t="shared" si="1"/>
        <v>1131.5900000000001</v>
      </c>
      <c r="U15" s="9">
        <f t="shared" si="1"/>
        <v>1187.7810000000002</v>
      </c>
      <c r="V15" s="9">
        <f t="shared" si="1"/>
        <v>1286.463</v>
      </c>
      <c r="W15" s="9">
        <f t="shared" si="1"/>
        <v>1356.7159999999999</v>
      </c>
      <c r="X15" s="9">
        <f t="shared" si="1"/>
        <v>1384.3440000000001</v>
      </c>
      <c r="AA15" s="8" t="s">
        <v>94</v>
      </c>
      <c r="AC15" s="16">
        <f>(AC14-AB14)/AB14</f>
        <v>0.10302564512137799</v>
      </c>
      <c r="AD15" s="16">
        <f>(AD14-AC14)/AC14</f>
        <v>0.68029779490752684</v>
      </c>
      <c r="AE15" s="16">
        <f>(AE14-AD14)/AD14</f>
        <v>0.1874974392158136</v>
      </c>
      <c r="AF15" s="16">
        <f>(AF14-AE14)/AE14</f>
        <v>-0.15791612135633545</v>
      </c>
      <c r="AG15" s="16">
        <f>(AG14-AF14)/AF14</f>
        <v>0.39119672832262953</v>
      </c>
      <c r="AH15" s="16"/>
    </row>
    <row r="16" spans="1:84" s="1" customFormat="1" x14ac:dyDescent="0.2">
      <c r="B16" s="1" t="s">
        <v>12</v>
      </c>
      <c r="C16" s="3"/>
      <c r="D16" s="3">
        <v>70.120999999999995</v>
      </c>
      <c r="E16" s="3">
        <v>73.683999999999997</v>
      </c>
      <c r="F16" s="3">
        <v>79.481999999999999</v>
      </c>
      <c r="G16" s="3">
        <f>84.888-5.554</f>
        <v>79.334000000000003</v>
      </c>
      <c r="H16" s="3">
        <v>97.966999999999999</v>
      </c>
      <c r="I16" s="3">
        <v>98.018000000000001</v>
      </c>
      <c r="J16" s="3">
        <v>115.161</v>
      </c>
      <c r="K16" s="3">
        <f>119.374-5.709</f>
        <v>113.66499999999999</v>
      </c>
      <c r="L16" s="3">
        <v>130.404</v>
      </c>
      <c r="M16" s="3">
        <v>139.392</v>
      </c>
      <c r="N16" s="3">
        <f>N15-N17</f>
        <v>131.69499999999994</v>
      </c>
      <c r="O16" s="1">
        <v>168.65199999999999</v>
      </c>
      <c r="P16" s="1">
        <v>169.77600000000001</v>
      </c>
      <c r="Q16" s="1">
        <v>178.029</v>
      </c>
      <c r="R16" s="1">
        <v>194.536</v>
      </c>
      <c r="S16" s="1">
        <v>213.42500000000001</v>
      </c>
      <c r="T16" s="1">
        <v>217.505</v>
      </c>
      <c r="U16" s="1">
        <v>217.624</v>
      </c>
      <c r="V16" s="1">
        <v>223.12700000000001</v>
      </c>
      <c r="W16" s="1">
        <v>219.67500000000001</v>
      </c>
      <c r="X16" s="1">
        <f>894.851-SUM(U16:W16)</f>
        <v>234.42500000000007</v>
      </c>
      <c r="AA16" s="1" t="s">
        <v>93</v>
      </c>
      <c r="AC16" s="16">
        <f>AC14/AC11</f>
        <v>0.30056884306938358</v>
      </c>
      <c r="AD16" s="16">
        <f>AD14/AD11</f>
        <v>0.40048751685811912</v>
      </c>
      <c r="AE16" s="16">
        <f>AE14/AE11</f>
        <v>0.38567403362958269</v>
      </c>
      <c r="AF16" s="16">
        <f>AF14/AF11</f>
        <v>0.27142099482599674</v>
      </c>
      <c r="AG16" s="16">
        <f>AG14/AG11</f>
        <v>0.32</v>
      </c>
      <c r="AH16" s="16">
        <f>AH14/AH11</f>
        <v>0.32</v>
      </c>
      <c r="AI16" s="16">
        <f>AI14/AI11</f>
        <v>0.32</v>
      </c>
      <c r="AJ16" s="16">
        <f>AJ14/AJ11</f>
        <v>0.32</v>
      </c>
      <c r="AK16" s="16"/>
      <c r="AL16" s="16"/>
      <c r="AM16" s="16"/>
      <c r="AN16" s="16"/>
      <c r="AO16" s="16"/>
    </row>
    <row r="17" spans="2:33" s="1" customFormat="1" x14ac:dyDescent="0.2">
      <c r="B17" s="1" t="s">
        <v>13</v>
      </c>
      <c r="C17" s="3"/>
      <c r="D17" s="3">
        <f t="shared" ref="D17:K17" si="4">+D15-D16</f>
        <v>360.35500000000002</v>
      </c>
      <c r="E17" s="3">
        <f t="shared" si="4"/>
        <v>385.822</v>
      </c>
      <c r="F17" s="3">
        <f t="shared" si="4"/>
        <v>421.87700000000007</v>
      </c>
      <c r="G17" s="3">
        <f t="shared" si="4"/>
        <v>489.39400000000006</v>
      </c>
      <c r="H17" s="3">
        <f t="shared" si="4"/>
        <v>461.572</v>
      </c>
      <c r="I17" s="3">
        <f t="shared" si="4"/>
        <v>516.00599999999997</v>
      </c>
      <c r="J17" s="3">
        <f t="shared" si="4"/>
        <v>573.36500000000001</v>
      </c>
      <c r="K17" s="3">
        <f t="shared" si="4"/>
        <v>626.82600000000002</v>
      </c>
      <c r="L17" s="3">
        <f>+L15-L16</f>
        <v>629.43700000000001</v>
      </c>
      <c r="M17" s="3">
        <f>+M15-M16</f>
        <v>668</v>
      </c>
      <c r="N17" s="3">
        <v>741.00900000000001</v>
      </c>
      <c r="O17" s="1">
        <f t="shared" ref="O17:T17" si="5">+O15-O16</f>
        <v>746.80099999999993</v>
      </c>
      <c r="P17" s="1">
        <f t="shared" si="5"/>
        <v>769.32199999999989</v>
      </c>
      <c r="Q17" s="1">
        <f t="shared" si="5"/>
        <v>799.74599999999998</v>
      </c>
      <c r="R17" s="1">
        <f t="shared" si="5"/>
        <v>865.57400000000007</v>
      </c>
      <c r="S17" s="1">
        <f t="shared" si="5"/>
        <v>975.70299999999997</v>
      </c>
      <c r="T17" s="1">
        <f t="shared" si="5"/>
        <v>914.08500000000015</v>
      </c>
      <c r="U17" s="1">
        <f>+U15-U16</f>
        <v>970.15700000000015</v>
      </c>
      <c r="V17" s="1">
        <f>+V15-V16</f>
        <v>1063.336</v>
      </c>
      <c r="W17" s="1">
        <f>+W15-W16</f>
        <v>1137.0409999999999</v>
      </c>
      <c r="X17" s="1">
        <f>+X15-X16</f>
        <v>1149.9189999999999</v>
      </c>
    </row>
    <row r="18" spans="2:33" s="1" customFormat="1" x14ac:dyDescent="0.2">
      <c r="B18" s="1" t="s">
        <v>14</v>
      </c>
      <c r="C18" s="3"/>
      <c r="D18" s="3">
        <v>210.738</v>
      </c>
      <c r="E18" s="3">
        <v>232.23500000000001</v>
      </c>
      <c r="F18" s="3">
        <v>241.06399999999999</v>
      </c>
      <c r="G18" s="3">
        <v>244.09800000000001</v>
      </c>
      <c r="H18" s="3">
        <v>245.929</v>
      </c>
      <c r="I18" s="3">
        <v>279.846</v>
      </c>
      <c r="J18" s="3">
        <v>374.976</v>
      </c>
      <c r="K18" s="3">
        <v>363.74599999999998</v>
      </c>
      <c r="L18" s="3">
        <v>367.00700000000001</v>
      </c>
      <c r="M18" s="3">
        <v>399.00599999999997</v>
      </c>
      <c r="N18" s="3">
        <v>473.67599999999999</v>
      </c>
      <c r="O18" s="1">
        <v>522.34400000000005</v>
      </c>
      <c r="P18" s="1">
        <v>474.85500000000002</v>
      </c>
      <c r="Q18" s="1">
        <v>481.738</v>
      </c>
      <c r="R18" s="1">
        <v>536.779</v>
      </c>
      <c r="S18" s="1">
        <v>576.49</v>
      </c>
      <c r="T18" s="1">
        <v>589.10400000000004</v>
      </c>
      <c r="U18" s="1">
        <v>603.101</v>
      </c>
      <c r="V18" s="1">
        <v>680.21299999999997</v>
      </c>
      <c r="W18" s="1">
        <v>685.32</v>
      </c>
      <c r="X18" s="1">
        <f>2669.312-SUM(U18:W18)</f>
        <v>700.67799999999988</v>
      </c>
    </row>
    <row r="19" spans="2:33" s="1" customFormat="1" x14ac:dyDescent="0.2">
      <c r="B19" s="1" t="s">
        <v>15</v>
      </c>
      <c r="C19" s="3"/>
      <c r="D19" s="3">
        <v>77.891999999999996</v>
      </c>
      <c r="E19" s="3">
        <v>70.286000000000001</v>
      </c>
      <c r="F19" s="3">
        <v>77.150999999999996</v>
      </c>
      <c r="G19" s="3">
        <f>92.043-2.278</f>
        <v>89.765000000000001</v>
      </c>
      <c r="H19" s="3">
        <v>133.429</v>
      </c>
      <c r="I19" s="3">
        <v>102.928</v>
      </c>
      <c r="J19" s="3">
        <v>134.65899999999999</v>
      </c>
      <c r="K19" s="3">
        <f>150.796-2.302</f>
        <v>148.494</v>
      </c>
      <c r="L19" s="3">
        <v>173.054</v>
      </c>
      <c r="M19" s="3">
        <v>160.12799999999999</v>
      </c>
      <c r="N19" s="3">
        <v>186.191</v>
      </c>
      <c r="O19" s="1">
        <v>220.92099999999999</v>
      </c>
      <c r="P19" s="1">
        <v>202.62100000000001</v>
      </c>
      <c r="Q19" s="1">
        <v>193.56700000000001</v>
      </c>
      <c r="R19" s="1">
        <v>220.51300000000001</v>
      </c>
      <c r="S19" s="1">
        <v>223.81399999999999</v>
      </c>
      <c r="T19" s="1">
        <v>239.60300000000001</v>
      </c>
      <c r="U19" s="1">
        <v>252.393</v>
      </c>
      <c r="V19" s="1">
        <v>271.89400000000001</v>
      </c>
      <c r="W19" s="1">
        <v>295.83199999999999</v>
      </c>
      <c r="X19" s="1">
        <f>1134.535-SUM(U19:W19)</f>
        <v>314.41600000000005</v>
      </c>
    </row>
    <row r="20" spans="2:33" s="1" customFormat="1" x14ac:dyDescent="0.2">
      <c r="B20" s="1" t="s">
        <v>16</v>
      </c>
      <c r="C20" s="3"/>
      <c r="D20" s="3">
        <v>75.013999999999996</v>
      </c>
      <c r="E20" s="3">
        <v>71.369</v>
      </c>
      <c r="F20" s="3">
        <v>75.948999999999998</v>
      </c>
      <c r="G20" s="3">
        <v>78.183999999999997</v>
      </c>
      <c r="H20" s="3">
        <v>89.74</v>
      </c>
      <c r="I20" s="3">
        <v>93.585999999999999</v>
      </c>
      <c r="J20" s="3">
        <v>130.44800000000001</v>
      </c>
      <c r="K20" s="3">
        <v>122.70699999999999</v>
      </c>
      <c r="L20" s="3">
        <v>131.709</v>
      </c>
      <c r="M20" s="3">
        <v>142.893</v>
      </c>
      <c r="N20" s="3">
        <v>156.131</v>
      </c>
      <c r="O20" s="1">
        <v>165.10300000000001</v>
      </c>
      <c r="P20" s="1">
        <v>142.23500000000001</v>
      </c>
      <c r="Q20" s="1">
        <v>143.31</v>
      </c>
      <c r="R20" s="1">
        <v>157.34399999999999</v>
      </c>
      <c r="S20" s="1">
        <v>157.595</v>
      </c>
      <c r="T20" s="1">
        <v>152.328</v>
      </c>
      <c r="U20" s="1">
        <v>146.64099999999999</v>
      </c>
      <c r="V20" s="1">
        <v>168.708</v>
      </c>
      <c r="W20" s="1">
        <v>168.345</v>
      </c>
      <c r="X20" s="1">
        <f>646.998-SUM(U20:W20)</f>
        <v>163.30400000000009</v>
      </c>
    </row>
    <row r="21" spans="2:33" s="1" customFormat="1" x14ac:dyDescent="0.2">
      <c r="B21" s="1" t="s">
        <v>17</v>
      </c>
      <c r="C21" s="3"/>
      <c r="D21" s="3">
        <f t="shared" ref="D21:F21" si="6">SUM(D18:D20)</f>
        <v>363.64400000000001</v>
      </c>
      <c r="E21" s="3">
        <f t="shared" si="6"/>
        <v>373.89</v>
      </c>
      <c r="F21" s="3">
        <f t="shared" si="6"/>
        <v>394.16399999999999</v>
      </c>
      <c r="G21" s="3">
        <f>SUM(G18:G20)</f>
        <v>412.04700000000003</v>
      </c>
      <c r="H21" s="3">
        <f>SUM(H18:H20)</f>
        <v>469.09800000000001</v>
      </c>
      <c r="I21" s="3">
        <f>SUM(I18:I20)</f>
        <v>476.36</v>
      </c>
      <c r="J21" s="3">
        <f>SUM(J18:J20)</f>
        <v>640.08299999999997</v>
      </c>
      <c r="K21" s="3">
        <f>SUM(K18:K20)</f>
        <v>634.947</v>
      </c>
      <c r="L21" s="3">
        <f t="shared" ref="L21:N21" si="7">SUM(L18:L20)</f>
        <v>671.77</v>
      </c>
      <c r="M21" s="3">
        <f t="shared" si="7"/>
        <v>702.02700000000004</v>
      </c>
      <c r="N21" s="3">
        <f t="shared" si="7"/>
        <v>815.99799999999993</v>
      </c>
      <c r="O21" s="1">
        <f t="shared" ref="O21:X21" si="8">SUM(O18:O20)</f>
        <v>908.36800000000017</v>
      </c>
      <c r="P21" s="1">
        <f t="shared" si="8"/>
        <v>819.71100000000001</v>
      </c>
      <c r="Q21" s="1">
        <f t="shared" si="8"/>
        <v>818.61500000000001</v>
      </c>
      <c r="R21" s="1">
        <f t="shared" si="8"/>
        <v>914.63599999999997</v>
      </c>
      <c r="S21" s="1">
        <f t="shared" si="8"/>
        <v>957.899</v>
      </c>
      <c r="T21" s="1">
        <f t="shared" si="8"/>
        <v>981.03500000000008</v>
      </c>
      <c r="U21" s="1">
        <f t="shared" si="8"/>
        <v>1002.135</v>
      </c>
      <c r="V21" s="1">
        <f t="shared" si="8"/>
        <v>1120.8150000000001</v>
      </c>
      <c r="W21" s="1">
        <f t="shared" si="8"/>
        <v>1149.4970000000001</v>
      </c>
      <c r="X21" s="1">
        <f t="shared" si="8"/>
        <v>1178.3980000000001</v>
      </c>
    </row>
    <row r="22" spans="2:33" s="1" customFormat="1" x14ac:dyDescent="0.2">
      <c r="B22" s="1" t="s">
        <v>18</v>
      </c>
      <c r="C22" s="3"/>
      <c r="D22" s="3">
        <f t="shared" ref="D22:F22" si="9">+D17-D21</f>
        <v>-3.2889999999999873</v>
      </c>
      <c r="E22" s="3">
        <f t="shared" si="9"/>
        <v>11.932000000000016</v>
      </c>
      <c r="F22" s="3">
        <f t="shared" si="9"/>
        <v>27.713000000000079</v>
      </c>
      <c r="G22" s="3">
        <f>+G17-G21</f>
        <v>77.347000000000037</v>
      </c>
      <c r="H22" s="3">
        <f>+H17-H21</f>
        <v>-7.5260000000000105</v>
      </c>
      <c r="I22" s="3">
        <f>+I17-I21</f>
        <v>39.645999999999958</v>
      </c>
      <c r="J22" s="3">
        <f>+J17-J21</f>
        <v>-66.717999999999961</v>
      </c>
      <c r="K22" s="3">
        <f>+K17-K21</f>
        <v>-8.1209999999999809</v>
      </c>
      <c r="L22" s="3">
        <f t="shared" ref="L22:N22" si="10">+L17-L21</f>
        <v>-42.33299999999997</v>
      </c>
      <c r="M22" s="3">
        <f t="shared" si="10"/>
        <v>-34.027000000000044</v>
      </c>
      <c r="N22" s="3">
        <f t="shared" si="10"/>
        <v>-74.988999999999919</v>
      </c>
      <c r="O22" s="1">
        <f t="shared" ref="O22:X22" si="11">+O17-O21</f>
        <v>-161.56700000000023</v>
      </c>
      <c r="P22" s="1">
        <f t="shared" si="11"/>
        <v>-50.389000000000124</v>
      </c>
      <c r="Q22" s="1">
        <f t="shared" si="11"/>
        <v>-18.869000000000028</v>
      </c>
      <c r="R22" s="1">
        <f t="shared" si="11"/>
        <v>-49.061999999999898</v>
      </c>
      <c r="S22" s="1">
        <f t="shared" si="11"/>
        <v>17.803999999999974</v>
      </c>
      <c r="T22" s="1">
        <f t="shared" si="11"/>
        <v>-66.949999999999932</v>
      </c>
      <c r="U22" s="1">
        <f t="shared" si="11"/>
        <v>-31.977999999999838</v>
      </c>
      <c r="V22" s="1">
        <f t="shared" si="11"/>
        <v>-57.479000000000042</v>
      </c>
      <c r="W22" s="1">
        <f t="shared" si="11"/>
        <v>-12.456000000000131</v>
      </c>
      <c r="X22" s="1">
        <f t="shared" si="11"/>
        <v>-28.479000000000269</v>
      </c>
      <c r="AA22" s="1" t="s">
        <v>7</v>
      </c>
      <c r="AB22" s="1" t="s">
        <v>85</v>
      </c>
      <c r="AC22" s="16">
        <v>0.18</v>
      </c>
      <c r="AE22" s="1" t="s">
        <v>92</v>
      </c>
      <c r="AF22" s="1" t="s">
        <v>95</v>
      </c>
      <c r="AG22" s="16"/>
    </row>
    <row r="23" spans="2:33" s="1" customFormat="1" x14ac:dyDescent="0.2">
      <c r="B23" s="1" t="s">
        <v>23</v>
      </c>
      <c r="C23" s="3"/>
      <c r="D23" s="3">
        <f>3.39-12.484</f>
        <v>-9.0939999999999994</v>
      </c>
      <c r="E23" s="3">
        <f>2.59-12.575</f>
        <v>-9.9849999999999994</v>
      </c>
      <c r="F23" s="3">
        <v>2.1120000000000001</v>
      </c>
      <c r="G23" s="3">
        <f>1.464-10.591</f>
        <v>-9.1269999999999989</v>
      </c>
      <c r="H23" s="3">
        <f>1.008-8.099</f>
        <v>-7.0910000000000002</v>
      </c>
      <c r="I23" s="3">
        <f>0.28-7.111</f>
        <v>-6.8309999999999995</v>
      </c>
      <c r="J23" s="3">
        <f>0.077-6.078</f>
        <v>-6.0010000000000003</v>
      </c>
      <c r="K23" s="3">
        <f>0.608-6.024</f>
        <v>-5.4160000000000004</v>
      </c>
      <c r="L23" s="3">
        <f>-0.608+1.328-4.767</f>
        <v>-4.0470000000000006</v>
      </c>
      <c r="M23" s="3">
        <f>29.289+5.143-6.121</f>
        <v>28.311</v>
      </c>
      <c r="N23" s="3">
        <f>-6.749+8.963-7.508</f>
        <v>-5.2940000000000005</v>
      </c>
      <c r="O23" s="1">
        <f>-0.943+15.047-7.978</f>
        <v>6.1260000000000012</v>
      </c>
      <c r="P23" s="1">
        <f>-7.096+20.579-8.5</f>
        <v>4.9830000000000005</v>
      </c>
      <c r="Q23" s="1">
        <f>-8.335+25.226-8.976</f>
        <v>7.9149999999999974</v>
      </c>
      <c r="R23" s="1">
        <f>-4.639+22.593-9.001</f>
        <v>8.9530000000000012</v>
      </c>
      <c r="S23" s="1">
        <f>-10.99+21.414-8.453</f>
        <v>1.9710000000000019</v>
      </c>
      <c r="T23" s="1">
        <f>-6.952+27.43-7.647</f>
        <v>12.831000000000001</v>
      </c>
      <c r="U23" s="1">
        <f>-19.432+28.564-7.318</f>
        <v>1.8140000000000018</v>
      </c>
      <c r="V23" s="1">
        <f>-7.999+25.586-7.291</f>
        <v>10.295999999999999</v>
      </c>
      <c r="W23" s="1">
        <f>27.767-14.861-7.804</f>
        <v>5.1019999999999985</v>
      </c>
      <c r="X23" s="1">
        <f>112.324-30.55-50.277</f>
        <v>31.497</v>
      </c>
      <c r="AB23" s="1" t="s">
        <v>86</v>
      </c>
      <c r="AC23" s="16">
        <v>0.01</v>
      </c>
      <c r="AF23" s="1" t="s">
        <v>86</v>
      </c>
      <c r="AG23" s="16">
        <v>0.01</v>
      </c>
    </row>
    <row r="24" spans="2:33" s="1" customFormat="1" x14ac:dyDescent="0.2">
      <c r="B24" s="1" t="s">
        <v>22</v>
      </c>
      <c r="C24" s="3"/>
      <c r="D24" s="3">
        <f t="shared" ref="D24:N24" si="12">+D22+D23</f>
        <v>-12.382999999999987</v>
      </c>
      <c r="E24" s="3">
        <f t="shared" si="12"/>
        <v>1.9470000000000169</v>
      </c>
      <c r="F24" s="3">
        <f t="shared" si="12"/>
        <v>29.825000000000081</v>
      </c>
      <c r="G24" s="3">
        <f t="shared" si="12"/>
        <v>68.220000000000041</v>
      </c>
      <c r="H24" s="3">
        <f t="shared" si="12"/>
        <v>-14.617000000000012</v>
      </c>
      <c r="I24" s="3">
        <f t="shared" si="12"/>
        <v>32.814999999999955</v>
      </c>
      <c r="J24" s="3">
        <f t="shared" si="12"/>
        <v>-72.718999999999966</v>
      </c>
      <c r="K24" s="3">
        <f t="shared" si="12"/>
        <v>-13.536999999999981</v>
      </c>
      <c r="L24" s="3">
        <f t="shared" si="12"/>
        <v>-46.379999999999967</v>
      </c>
      <c r="M24" s="3">
        <f t="shared" si="12"/>
        <v>-5.7160000000000437</v>
      </c>
      <c r="N24" s="3">
        <f t="shared" si="12"/>
        <v>-80.282999999999916</v>
      </c>
      <c r="O24" s="1">
        <f t="shared" ref="O24:U24" si="13">+O22+O23</f>
        <v>-155.44100000000023</v>
      </c>
      <c r="P24" s="1">
        <f t="shared" si="13"/>
        <v>-45.40600000000012</v>
      </c>
      <c r="Q24" s="1">
        <f t="shared" si="13"/>
        <v>-10.954000000000031</v>
      </c>
      <c r="R24" s="1">
        <f t="shared" si="13"/>
        <v>-40.108999999999895</v>
      </c>
      <c r="S24" s="1">
        <f t="shared" si="13"/>
        <v>19.774999999999977</v>
      </c>
      <c r="T24" s="1">
        <f t="shared" si="13"/>
        <v>-54.118999999999929</v>
      </c>
      <c r="U24" s="1">
        <f t="shared" si="13"/>
        <v>-30.163999999999838</v>
      </c>
      <c r="V24" s="1">
        <f>+V22+V23</f>
        <v>-47.183000000000042</v>
      </c>
      <c r="W24" s="1">
        <f>+W22+W23</f>
        <v>-7.3540000000001324</v>
      </c>
      <c r="X24" s="1">
        <f>+X22+X23</f>
        <v>3.0179999999997307</v>
      </c>
      <c r="AB24" s="1" t="s">
        <v>87</v>
      </c>
      <c r="AC24" s="16">
        <v>0.09</v>
      </c>
      <c r="AF24" s="1" t="s">
        <v>87</v>
      </c>
      <c r="AG24" s="16">
        <v>0.09</v>
      </c>
    </row>
    <row r="25" spans="2:33" s="1" customFormat="1" x14ac:dyDescent="0.2">
      <c r="B25" s="1" t="s">
        <v>21</v>
      </c>
      <c r="C25" s="3"/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44.259</v>
      </c>
      <c r="M25" s="3">
        <v>8.0250000000000004</v>
      </c>
      <c r="N25" s="3">
        <v>0</v>
      </c>
      <c r="O25" s="1">
        <v>53.595999999999997</v>
      </c>
      <c r="P25" s="1">
        <v>13.506</v>
      </c>
      <c r="Q25" s="1">
        <v>20.928999999999998</v>
      </c>
      <c r="R25" s="1">
        <v>44.36</v>
      </c>
      <c r="S25" s="1">
        <v>7.0229999999999997</v>
      </c>
      <c r="T25" s="1">
        <v>142.80000000000001</v>
      </c>
      <c r="U25" s="1">
        <v>93.605000000000004</v>
      </c>
      <c r="V25" s="1">
        <v>-8.9749999999999996</v>
      </c>
      <c r="W25" s="1">
        <v>-63.453000000000003</v>
      </c>
      <c r="X25" s="1">
        <f>-157.782+SUM(U25:W25)</f>
        <v>-136.60500000000002</v>
      </c>
      <c r="AB25" s="1" t="s">
        <v>88</v>
      </c>
      <c r="AC25" s="17">
        <f>NPV(AC24,AB11:CF11)</f>
        <v>96980.510516830196</v>
      </c>
      <c r="AF25" s="1" t="s">
        <v>88</v>
      </c>
      <c r="AG25" s="18">
        <f>NPV(AG24,AE14:CJ14)</f>
        <v>33292.14877462099</v>
      </c>
    </row>
    <row r="26" spans="2:33" s="1" customFormat="1" x14ac:dyDescent="0.2">
      <c r="B26" s="1" t="s">
        <v>20</v>
      </c>
      <c r="C26" s="3"/>
      <c r="D26" s="3">
        <f t="shared" ref="D26:N26" si="14">+D24-D25</f>
        <v>-12.382999999999987</v>
      </c>
      <c r="E26" s="3">
        <f t="shared" si="14"/>
        <v>1.9470000000000169</v>
      </c>
      <c r="F26" s="3">
        <f t="shared" si="14"/>
        <v>29.825000000000081</v>
      </c>
      <c r="G26" s="3">
        <f t="shared" si="14"/>
        <v>68.220000000000041</v>
      </c>
      <c r="H26" s="3">
        <f t="shared" si="14"/>
        <v>-14.617000000000012</v>
      </c>
      <c r="I26" s="3">
        <f t="shared" si="14"/>
        <v>32.814999999999955</v>
      </c>
      <c r="J26" s="3">
        <f t="shared" si="14"/>
        <v>-72.718999999999966</v>
      </c>
      <c r="K26" s="3">
        <f t="shared" si="14"/>
        <v>-13.536999999999981</v>
      </c>
      <c r="L26" s="3">
        <f t="shared" si="14"/>
        <v>-90.638999999999967</v>
      </c>
      <c r="M26" s="3">
        <f t="shared" si="14"/>
        <v>-13.741000000000044</v>
      </c>
      <c r="N26" s="3">
        <f t="shared" si="14"/>
        <v>-80.282999999999916</v>
      </c>
      <c r="O26" s="1">
        <f t="shared" ref="O26:U26" si="15">+O24-O25</f>
        <v>-209.03700000000023</v>
      </c>
      <c r="P26" s="1">
        <f t="shared" si="15"/>
        <v>-58.91200000000012</v>
      </c>
      <c r="Q26" s="1">
        <f t="shared" si="15"/>
        <v>-31.883000000000031</v>
      </c>
      <c r="R26" s="1">
        <f t="shared" si="15"/>
        <v>-84.468999999999895</v>
      </c>
      <c r="S26" s="1">
        <f t="shared" si="15"/>
        <v>12.751999999999978</v>
      </c>
      <c r="T26" s="1">
        <f t="shared" si="15"/>
        <v>-196.91899999999993</v>
      </c>
      <c r="U26" s="1">
        <f t="shared" si="15"/>
        <v>-123.76899999999983</v>
      </c>
      <c r="V26" s="1">
        <f>+V24-V25</f>
        <v>-38.208000000000041</v>
      </c>
      <c r="W26" s="1">
        <f>+W24-W25</f>
        <v>56.098999999999869</v>
      </c>
      <c r="X26" s="1">
        <f>+X24-X25</f>
        <v>139.62299999999976</v>
      </c>
      <c r="AB26" s="1" t="s">
        <v>1</v>
      </c>
      <c r="AC26" s="1">
        <f>X28</f>
        <v>261.78699999999998</v>
      </c>
      <c r="AF26" s="1" t="s">
        <v>1</v>
      </c>
      <c r="AG26" s="1">
        <f>AC26</f>
        <v>261.78699999999998</v>
      </c>
    </row>
    <row r="27" spans="2:33" x14ac:dyDescent="0.2">
      <c r="B27" s="1" t="s">
        <v>24</v>
      </c>
      <c r="D27" s="10">
        <f t="shared" ref="D27:N27" si="16">+D26/D28</f>
        <v>-5.0152080321089906E-2</v>
      </c>
      <c r="E27" s="10">
        <f t="shared" si="16"/>
        <v>7.8503316331674181E-3</v>
      </c>
      <c r="F27" s="10">
        <f t="shared" si="16"/>
        <v>0.11968874905693726</v>
      </c>
      <c r="G27" s="10">
        <f t="shared" si="16"/>
        <v>0.26739518986547944</v>
      </c>
      <c r="H27" s="10">
        <f t="shared" si="16"/>
        <v>-5.81738728986246E-2</v>
      </c>
      <c r="I27" s="10">
        <f t="shared" si="16"/>
        <v>0.13016350265364551</v>
      </c>
      <c r="J27" s="10">
        <f t="shared" si="16"/>
        <v>-0.28747232764073355</v>
      </c>
      <c r="K27" s="10">
        <f t="shared" si="16"/>
        <v>-5.3353460269664088E-2</v>
      </c>
      <c r="L27" s="10">
        <f t="shared" si="16"/>
        <v>-0.35617057395022034</v>
      </c>
      <c r="M27" s="10">
        <f t="shared" si="16"/>
        <v>-5.3851007379481064E-2</v>
      </c>
      <c r="N27" s="10">
        <f t="shared" si="16"/>
        <v>-0.31375989744952559</v>
      </c>
      <c r="O27" s="13">
        <f t="shared" ref="O27:X27" si="17">+O26/O28</f>
        <v>-0.81392777182906739</v>
      </c>
      <c r="P27" s="13">
        <f t="shared" si="17"/>
        <v>-0.22888313020369991</v>
      </c>
      <c r="Q27" s="13">
        <f t="shared" si="17"/>
        <v>-0.12362208082758526</v>
      </c>
      <c r="R27" s="13">
        <f t="shared" si="17"/>
        <v>-0.32663833473188386</v>
      </c>
      <c r="S27" s="13">
        <f t="shared" si="17"/>
        <v>4.8713031652774401E-2</v>
      </c>
      <c r="T27" s="13">
        <f t="shared" si="17"/>
        <v>-0.75643231947634859</v>
      </c>
      <c r="U27" s="13">
        <f t="shared" si="17"/>
        <v>-0.47516287426528964</v>
      </c>
      <c r="V27" s="13">
        <f t="shared" si="17"/>
        <v>-0.14630840101552015</v>
      </c>
      <c r="W27" s="13">
        <f t="shared" si="17"/>
        <v>0.21357134971123523</v>
      </c>
      <c r="X27" s="13">
        <f t="shared" si="17"/>
        <v>0.53334581167131967</v>
      </c>
      <c r="AA27" s="1"/>
      <c r="AB27" s="1" t="s">
        <v>89</v>
      </c>
      <c r="AC27" s="17">
        <f>AC25/AC26</f>
        <v>370.45579236872038</v>
      </c>
      <c r="AD27" s="1"/>
      <c r="AE27" s="1"/>
      <c r="AF27" s="1" t="s">
        <v>89</v>
      </c>
      <c r="AG27" s="17">
        <f>AG25/AG26</f>
        <v>127.1726585912249</v>
      </c>
    </row>
    <row r="28" spans="2:33" s="1" customFormat="1" x14ac:dyDescent="0.2">
      <c r="B28" s="1" t="s">
        <v>1</v>
      </c>
      <c r="C28" s="3"/>
      <c r="D28" s="3">
        <v>246.90899999999999</v>
      </c>
      <c r="E28" s="3">
        <v>248.01499999999999</v>
      </c>
      <c r="F28" s="3">
        <v>249.18799999999999</v>
      </c>
      <c r="G28" s="3">
        <v>255.12799999999999</v>
      </c>
      <c r="H28" s="3">
        <v>251.26400000000001</v>
      </c>
      <c r="I28" s="3">
        <v>252.10599999999999</v>
      </c>
      <c r="J28" s="3">
        <v>252.96</v>
      </c>
      <c r="K28" s="3">
        <v>253.72300000000001</v>
      </c>
      <c r="L28" s="3">
        <v>254.482</v>
      </c>
      <c r="M28" s="3">
        <v>255.167</v>
      </c>
      <c r="N28" s="3">
        <v>255.874</v>
      </c>
      <c r="O28" s="1">
        <v>256.82499999999999</v>
      </c>
      <c r="P28" s="1">
        <v>257.38900000000001</v>
      </c>
      <c r="Q28" s="1">
        <v>257.90699999999998</v>
      </c>
      <c r="R28" s="1">
        <v>258.601</v>
      </c>
      <c r="S28" s="1">
        <v>261.77800000000002</v>
      </c>
      <c r="T28" s="1">
        <v>260.32600000000002</v>
      </c>
      <c r="U28" s="1">
        <v>260.47699999999998</v>
      </c>
      <c r="V28" s="1">
        <v>261.14699999999999</v>
      </c>
      <c r="W28" s="1">
        <v>262.67099999999999</v>
      </c>
      <c r="X28" s="1">
        <v>261.78699999999998</v>
      </c>
      <c r="AB28" s="8" t="s">
        <v>90</v>
      </c>
      <c r="AC28" s="16">
        <f>(AC27-Main!L2)/Main!L2</f>
        <v>1.4776337103311956</v>
      </c>
      <c r="AF28" s="8" t="s">
        <v>90</v>
      </c>
      <c r="AG28" s="16">
        <f>(AG27-Main!L2)/Main!L2</f>
        <v>-0.14946054981791804</v>
      </c>
    </row>
    <row r="30" spans="2:33" s="4" customFormat="1" x14ac:dyDescent="0.2">
      <c r="B30" s="4" t="s">
        <v>11</v>
      </c>
      <c r="C30" s="5"/>
      <c r="D30" s="5"/>
      <c r="E30" s="5"/>
      <c r="F30" s="5"/>
      <c r="G30" s="5"/>
      <c r="H30" s="11">
        <f t="shared" ref="H30:X30" si="18">+H15/D15-1</f>
        <v>0.29981462381178048</v>
      </c>
      <c r="I30" s="11">
        <f t="shared" si="18"/>
        <v>0.33626982019821283</v>
      </c>
      <c r="J30" s="11">
        <f t="shared" si="18"/>
        <v>0.373319318093422</v>
      </c>
      <c r="K30" s="11">
        <f t="shared" si="18"/>
        <v>0.30201256136501087</v>
      </c>
      <c r="L30" s="11">
        <f t="shared" si="18"/>
        <v>0.35797683450125906</v>
      </c>
      <c r="M30" s="11">
        <f t="shared" si="18"/>
        <v>0.31491928654254542</v>
      </c>
      <c r="N30" s="11">
        <f t="shared" si="18"/>
        <v>0.26749607131756803</v>
      </c>
      <c r="O30" s="11">
        <f t="shared" si="18"/>
        <v>0.23627836124949519</v>
      </c>
      <c r="P30" s="11">
        <f t="shared" si="18"/>
        <v>0.235913829340612</v>
      </c>
      <c r="Q30" s="11">
        <f t="shared" si="18"/>
        <v>0.21102884348618778</v>
      </c>
      <c r="R30" s="11">
        <f t="shared" si="18"/>
        <v>0.21474176811381662</v>
      </c>
      <c r="S30" s="11">
        <f t="shared" si="18"/>
        <v>0.29895035572552597</v>
      </c>
      <c r="T30" s="11">
        <f t="shared" si="18"/>
        <v>0.20497541257674934</v>
      </c>
      <c r="U30" s="11">
        <f t="shared" si="18"/>
        <v>0.21477947380532347</v>
      </c>
      <c r="V30" s="11">
        <f t="shared" si="18"/>
        <v>0.21351840846704562</v>
      </c>
      <c r="W30" s="11">
        <f t="shared" si="18"/>
        <v>0.1409335243977099</v>
      </c>
      <c r="X30" s="11">
        <f t="shared" si="18"/>
        <v>0.22336181832642543</v>
      </c>
    </row>
    <row r="31" spans="2:33" s="4" customFormat="1" x14ac:dyDescent="0.2">
      <c r="B31" s="4" t="s">
        <v>44</v>
      </c>
      <c r="C31" s="5"/>
      <c r="D31" s="5"/>
      <c r="E31" s="5"/>
      <c r="F31" s="5"/>
      <c r="G31" s="5"/>
      <c r="H31" s="11"/>
      <c r="I31" s="11">
        <f>+I7/E7-1</f>
        <v>0.53339282268956212</v>
      </c>
      <c r="J31" s="11">
        <f>+J7/F7-1</f>
        <v>0.58020849608527314</v>
      </c>
      <c r="K31" s="11">
        <f>+K7/G7-1</f>
        <v>0.59858571548629524</v>
      </c>
      <c r="L31" s="5"/>
      <c r="M31" s="5"/>
      <c r="N31" s="5"/>
    </row>
    <row r="32" spans="2:33" x14ac:dyDescent="0.2">
      <c r="B32" t="s">
        <v>13</v>
      </c>
      <c r="D32" s="6">
        <f t="shared" ref="D32:K32" si="19">+D17/D15</f>
        <v>0.8371082243841701</v>
      </c>
      <c r="E32" s="6">
        <f t="shared" si="19"/>
        <v>0.83964518417604983</v>
      </c>
      <c r="F32" s="6">
        <f t="shared" si="19"/>
        <v>0.84146689298486721</v>
      </c>
      <c r="G32" s="6">
        <f t="shared" si="19"/>
        <v>0.86050625254954916</v>
      </c>
      <c r="H32" s="6">
        <f t="shared" si="19"/>
        <v>0.8249147959302211</v>
      </c>
      <c r="I32" s="6">
        <f t="shared" si="19"/>
        <v>0.84036780321290372</v>
      </c>
      <c r="J32" s="6">
        <f t="shared" si="19"/>
        <v>0.83274269962209113</v>
      </c>
      <c r="K32" s="6">
        <f t="shared" si="19"/>
        <v>0.84650049764278035</v>
      </c>
      <c r="L32" s="6">
        <f t="shared" ref="L32:W32" si="20">+L17/L15</f>
        <v>0.82837988473904411</v>
      </c>
      <c r="M32" s="6">
        <f t="shared" si="20"/>
        <v>0.82735523760453422</v>
      </c>
      <c r="N32" s="6">
        <f t="shared" si="20"/>
        <v>0.84909545504546791</v>
      </c>
      <c r="O32" s="6">
        <f t="shared" si="20"/>
        <v>0.81577208223688158</v>
      </c>
      <c r="P32" s="6">
        <f t="shared" si="20"/>
        <v>0.81921375617880132</v>
      </c>
      <c r="Q32" s="6">
        <f t="shared" si="20"/>
        <v>0.81792436910332134</v>
      </c>
      <c r="R32" s="6">
        <f t="shared" si="20"/>
        <v>0.81649451472017054</v>
      </c>
      <c r="S32" s="6">
        <f t="shared" si="20"/>
        <v>0.82051974219764401</v>
      </c>
      <c r="T32" s="6">
        <f t="shared" si="20"/>
        <v>0.80778815648777391</v>
      </c>
      <c r="U32" s="6">
        <f t="shared" si="20"/>
        <v>0.81678103960241832</v>
      </c>
      <c r="V32" s="6">
        <f t="shared" si="20"/>
        <v>0.82655777896449412</v>
      </c>
      <c r="W32" s="6">
        <f t="shared" si="20"/>
        <v>0.8380832834579971</v>
      </c>
    </row>
    <row r="33" spans="2:24" x14ac:dyDescent="0.2">
      <c r="B33" t="s">
        <v>19</v>
      </c>
      <c r="D33" s="6">
        <f t="shared" ref="D33:K33" si="21">+D22/D15</f>
        <v>-7.640379486893549E-3</v>
      </c>
      <c r="E33" s="6">
        <f t="shared" si="21"/>
        <v>2.5967016752773665E-2</v>
      </c>
      <c r="F33" s="6">
        <f t="shared" si="21"/>
        <v>5.5275760483007343E-2</v>
      </c>
      <c r="G33" s="6">
        <f t="shared" si="21"/>
        <v>0.13599998593352186</v>
      </c>
      <c r="H33" s="6">
        <f t="shared" si="21"/>
        <v>-1.3450358241337978E-2</v>
      </c>
      <c r="I33" s="6">
        <f t="shared" si="21"/>
        <v>6.4567508761872436E-2</v>
      </c>
      <c r="J33" s="6">
        <f t="shared" si="21"/>
        <v>-9.6899753967170377E-2</v>
      </c>
      <c r="K33" s="6">
        <f t="shared" si="21"/>
        <v>-1.0967047540078111E-2</v>
      </c>
      <c r="L33" s="6">
        <f t="shared" ref="L33:W33" si="22">+L22/L15</f>
        <v>-5.5712971529569964E-2</v>
      </c>
      <c r="M33" s="6">
        <f t="shared" si="22"/>
        <v>-4.21443363322897E-2</v>
      </c>
      <c r="N33" s="6">
        <f t="shared" si="22"/>
        <v>-8.5927187224992582E-2</v>
      </c>
      <c r="O33" s="6">
        <f t="shared" si="22"/>
        <v>-0.17648857997079068</v>
      </c>
      <c r="P33" s="6">
        <f t="shared" si="22"/>
        <v>-5.3656806850829332E-2</v>
      </c>
      <c r="Q33" s="6">
        <f t="shared" si="22"/>
        <v>-1.929789573265836E-2</v>
      </c>
      <c r="R33" s="6">
        <f t="shared" si="22"/>
        <v>-4.6280103008178294E-2</v>
      </c>
      <c r="S33" s="6">
        <f t="shared" si="22"/>
        <v>1.4972315848251807E-2</v>
      </c>
      <c r="T33" s="6">
        <f t="shared" si="22"/>
        <v>-5.9164538392880744E-2</v>
      </c>
      <c r="U33" s="6">
        <f t="shared" si="22"/>
        <v>-2.6922471398346862E-2</v>
      </c>
      <c r="V33" s="6">
        <f t="shared" si="22"/>
        <v>-4.4679870311077771E-2</v>
      </c>
      <c r="W33" s="6">
        <f t="shared" si="22"/>
        <v>-9.1809929270386219E-3</v>
      </c>
    </row>
    <row r="34" spans="2:24" x14ac:dyDescent="0.2"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2:24" x14ac:dyDescent="0.2">
      <c r="B35" t="s">
        <v>92</v>
      </c>
      <c r="U35">
        <v>74.340999999999994</v>
      </c>
      <c r="V35">
        <v>342.56900000000002</v>
      </c>
      <c r="W35">
        <v>638.31500000000005</v>
      </c>
      <c r="X35">
        <v>360.31799999999998</v>
      </c>
    </row>
    <row r="36" spans="2:24" x14ac:dyDescent="0.2">
      <c r="U36" s="16"/>
      <c r="V36" s="16"/>
      <c r="W36" s="16"/>
      <c r="X36" s="16"/>
    </row>
    <row r="37" spans="2:24" x14ac:dyDescent="0.2">
      <c r="B37" t="s">
        <v>3</v>
      </c>
      <c r="T37" s="1">
        <f>2176.93+161.973+223.221</f>
        <v>2562.1239999999998</v>
      </c>
    </row>
    <row r="38" spans="2:24" x14ac:dyDescent="0.2">
      <c r="B38" t="s">
        <v>54</v>
      </c>
      <c r="T38" s="1">
        <v>628.04899999999998</v>
      </c>
    </row>
    <row r="39" spans="2:24" x14ac:dyDescent="0.2">
      <c r="B39" t="s">
        <v>55</v>
      </c>
      <c r="T39" s="1">
        <v>109.312</v>
      </c>
    </row>
    <row r="40" spans="2:24" x14ac:dyDescent="0.2">
      <c r="B40" t="s">
        <v>56</v>
      </c>
      <c r="T40" s="1">
        <v>86.314999999999998</v>
      </c>
    </row>
    <row r="41" spans="2:24" x14ac:dyDescent="0.2">
      <c r="B41" t="s">
        <v>57</v>
      </c>
      <c r="T41" s="1">
        <v>172.46799999999999</v>
      </c>
    </row>
    <row r="42" spans="2:24" x14ac:dyDescent="0.2">
      <c r="B42" t="s">
        <v>58</v>
      </c>
      <c r="T42" s="1">
        <f>299.057+1288.756</f>
        <v>1587.8130000000001</v>
      </c>
    </row>
    <row r="43" spans="2:24" x14ac:dyDescent="0.2">
      <c r="B43" t="s">
        <v>59</v>
      </c>
      <c r="T43" s="1">
        <v>3.9340000000000002</v>
      </c>
    </row>
    <row r="44" spans="2:24" x14ac:dyDescent="0.2">
      <c r="B44" t="s">
        <v>60</v>
      </c>
      <c r="T44" s="1">
        <v>62.118000000000002</v>
      </c>
    </row>
    <row r="45" spans="2:24" x14ac:dyDescent="0.2">
      <c r="B45" t="s">
        <v>61</v>
      </c>
      <c r="T45" s="1">
        <f>SUM(T37:T44)</f>
        <v>5212.1330000000007</v>
      </c>
    </row>
    <row r="46" spans="2:24" x14ac:dyDescent="0.2">
      <c r="T46" s="1"/>
    </row>
    <row r="47" spans="2:24" x14ac:dyDescent="0.2">
      <c r="B47" t="s">
        <v>62</v>
      </c>
      <c r="T47" s="1">
        <v>177.54499999999999</v>
      </c>
    </row>
    <row r="48" spans="2:24" x14ac:dyDescent="0.2">
      <c r="B48" t="s">
        <v>63</v>
      </c>
      <c r="T48" s="1">
        <v>577.35900000000004</v>
      </c>
    </row>
    <row r="49" spans="2:20" x14ac:dyDescent="0.2">
      <c r="B49" t="s">
        <v>64</v>
      </c>
      <c r="T49" s="1">
        <f>1806.269+308.467</f>
        <v>2114.7359999999999</v>
      </c>
    </row>
    <row r="50" spans="2:20" x14ac:dyDescent="0.2">
      <c r="B50" t="s">
        <v>57</v>
      </c>
      <c r="T50" s="1">
        <f>48.953+214.474</f>
        <v>263.42700000000002</v>
      </c>
    </row>
    <row r="51" spans="2:20" x14ac:dyDescent="0.2">
      <c r="B51" t="s">
        <v>4</v>
      </c>
      <c r="T51" s="1">
        <v>985.91099999999994</v>
      </c>
    </row>
    <row r="52" spans="2:20" x14ac:dyDescent="0.2">
      <c r="B52" t="s">
        <v>59</v>
      </c>
      <c r="T52" s="1">
        <v>20.387</v>
      </c>
    </row>
    <row r="53" spans="2:20" x14ac:dyDescent="0.2">
      <c r="B53" t="s">
        <v>67</v>
      </c>
      <c r="T53" s="1">
        <v>39.917000000000002</v>
      </c>
    </row>
    <row r="54" spans="2:20" x14ac:dyDescent="0.2">
      <c r="B54" t="s">
        <v>66</v>
      </c>
      <c r="T54" s="1">
        <v>1032.8510000000001</v>
      </c>
    </row>
    <row r="55" spans="2:20" x14ac:dyDescent="0.2">
      <c r="B55" t="s">
        <v>65</v>
      </c>
      <c r="T55" s="1">
        <f>SUM(T47:T54)</f>
        <v>5212.1329999999998</v>
      </c>
    </row>
    <row r="56" spans="2:20" x14ac:dyDescent="0.2">
      <c r="T56" s="1"/>
    </row>
    <row r="57" spans="2:20" x14ac:dyDescent="0.2">
      <c r="B57" t="s">
        <v>68</v>
      </c>
      <c r="T57" s="1">
        <f>+T26</f>
        <v>-196.91899999999993</v>
      </c>
    </row>
    <row r="58" spans="2:20" x14ac:dyDescent="0.2">
      <c r="B58" t="s">
        <v>69</v>
      </c>
      <c r="T58" s="1">
        <v>-196.91900000000001</v>
      </c>
    </row>
    <row r="59" spans="2:20" x14ac:dyDescent="0.2">
      <c r="B59" t="s">
        <v>70</v>
      </c>
      <c r="T59" s="1">
        <v>23.178000000000001</v>
      </c>
    </row>
    <row r="60" spans="2:20" x14ac:dyDescent="0.2">
      <c r="B60" t="s">
        <v>71</v>
      </c>
      <c r="T60" s="1">
        <v>273.488</v>
      </c>
    </row>
    <row r="61" spans="2:20" x14ac:dyDescent="0.2">
      <c r="B61" t="s">
        <v>72</v>
      </c>
      <c r="T61" s="1">
        <v>0.217</v>
      </c>
    </row>
    <row r="62" spans="2:20" x14ac:dyDescent="0.2">
      <c r="B62" t="s">
        <v>73</v>
      </c>
      <c r="T62" s="1">
        <v>0.56599999999999995</v>
      </c>
    </row>
    <row r="63" spans="2:20" x14ac:dyDescent="0.2">
      <c r="B63" t="s">
        <v>74</v>
      </c>
      <c r="T63" s="1">
        <v>-4.1660000000000004</v>
      </c>
    </row>
    <row r="64" spans="2:20" x14ac:dyDescent="0.2">
      <c r="B64" t="s">
        <v>75</v>
      </c>
      <c r="T64" s="1">
        <v>1.587</v>
      </c>
    </row>
    <row r="65" spans="2:20" x14ac:dyDescent="0.2">
      <c r="B65" t="s">
        <v>76</v>
      </c>
      <c r="T65" s="1">
        <v>2.1589999999999998</v>
      </c>
    </row>
    <row r="66" spans="2:20" x14ac:dyDescent="0.2">
      <c r="B66" t="s">
        <v>10</v>
      </c>
      <c r="T66" s="1">
        <v>4.1000000000000002E-2</v>
      </c>
    </row>
    <row r="67" spans="2:20" x14ac:dyDescent="0.2">
      <c r="B67" t="s">
        <v>77</v>
      </c>
      <c r="T67" s="1">
        <f>18.025+56.406-10.7+103.165+159.172</f>
        <v>326.06799999999998</v>
      </c>
    </row>
    <row r="68" spans="2:20" x14ac:dyDescent="0.2">
      <c r="B68" t="s">
        <v>25</v>
      </c>
      <c r="D68" s="3">
        <v>123.34099999999999</v>
      </c>
      <c r="E68" s="3">
        <v>79.465000000000003</v>
      </c>
      <c r="F68" s="3">
        <v>200.46199999999999</v>
      </c>
      <c r="G68" s="3">
        <v>377.036</v>
      </c>
      <c r="H68" s="3">
        <v>184.36699999999999</v>
      </c>
      <c r="I68" s="3">
        <v>78.385999999999996</v>
      </c>
      <c r="J68" s="3">
        <v>221.684</v>
      </c>
      <c r="K68" s="3">
        <v>353.029</v>
      </c>
      <c r="M68" s="3">
        <v>92.441999999999993</v>
      </c>
      <c r="N68" s="3">
        <v>150.52500000000001</v>
      </c>
      <c r="O68" s="1">
        <v>352.36900000000003</v>
      </c>
      <c r="P68" s="1">
        <v>272.77499999999998</v>
      </c>
      <c r="Q68" s="1">
        <v>166.95599999999999</v>
      </c>
      <c r="R68" s="1">
        <v>289.59399999999999</v>
      </c>
      <c r="S68" s="1">
        <v>565.39</v>
      </c>
      <c r="T68" s="1">
        <f>SUM(T58:T67)</f>
        <v>426.21899999999999</v>
      </c>
    </row>
    <row r="69" spans="2:20" x14ac:dyDescent="0.2">
      <c r="B69" t="s">
        <v>78</v>
      </c>
      <c r="P69" s="1">
        <f>SUM(M68:P68)</f>
        <v>868.11099999999999</v>
      </c>
      <c r="Q69" s="1">
        <f>SUM(N68:Q68)</f>
        <v>942.625</v>
      </c>
      <c r="R69" s="1">
        <f>SUM(O68:R68)</f>
        <v>1081.694</v>
      </c>
      <c r="S69" s="1">
        <f>SUM(P68:S68)</f>
        <v>1294.7150000000001</v>
      </c>
      <c r="T69" s="1">
        <f>SUM(Q68:T68)</f>
        <v>1448.1589999999999</v>
      </c>
    </row>
  </sheetData>
  <hyperlinks>
    <hyperlink ref="A1" location="Main!A1" display="Main" xr:uid="{8B4B4F9B-7A25-4B26-901F-5BB44EFDE58B}"/>
  </hyperlink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Jefferson Hwang</cp:lastModifiedBy>
  <dcterms:created xsi:type="dcterms:W3CDTF">2022-07-27T14:25:12Z</dcterms:created>
  <dcterms:modified xsi:type="dcterms:W3CDTF">2025-10-11T17:45:23Z</dcterms:modified>
</cp:coreProperties>
</file>