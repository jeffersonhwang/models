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AEE064CF-4499-47C7-9795-D27B810716EA}" xr6:coauthVersionLast="47" xr6:coauthVersionMax="47" xr10:uidLastSave="{00000000-0000-0000-0000-000000000000}"/>
  <bookViews>
    <workbookView xWindow="5780" yWindow="4160" windowWidth="23600" windowHeight="13830" xr2:uid="{8EF78811-AEFC-40C2-88C2-7B926EB4226D}"/>
  </bookViews>
  <sheets>
    <sheet name="Main" sheetId="1" r:id="rId1"/>
    <sheet name="Model" sheetId="3" r:id="rId2"/>
    <sheet name="tralesinidase" sheetId="2" r:id="rId3"/>
    <sheet name="Countr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E11" i="4"/>
  <c r="E10" i="4"/>
  <c r="E3" i="4"/>
  <c r="E4" i="4"/>
  <c r="E5" i="4"/>
  <c r="E7" i="4"/>
  <c r="E8" i="4"/>
  <c r="E13" i="4" s="1"/>
  <c r="E9" i="4"/>
  <c r="F23" i="3"/>
  <c r="E23" i="3"/>
  <c r="D4" i="3"/>
  <c r="E4" i="3" s="1"/>
  <c r="F4" i="3" s="1"/>
  <c r="G4" i="3" s="1"/>
  <c r="H4" i="3" s="1"/>
  <c r="I4" i="3" s="1"/>
  <c r="J4" i="3" s="1"/>
  <c r="K4" i="3" s="1"/>
  <c r="L4" i="3" s="1"/>
  <c r="C17" i="3"/>
  <c r="C5" i="3"/>
  <c r="D3" i="3"/>
  <c r="F2" i="3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E2" i="3"/>
  <c r="J4" i="1"/>
  <c r="J7" i="1" s="1"/>
  <c r="E14" i="4" l="1"/>
  <c r="C13" i="4"/>
  <c r="D5" i="3"/>
  <c r="D7" i="3" s="1"/>
  <c r="D8" i="3" s="1"/>
  <c r="D9" i="3" s="1"/>
  <c r="D11" i="3" s="1"/>
  <c r="D13" i="3" s="1"/>
  <c r="E3" i="3"/>
  <c r="C14" i="4" l="1"/>
  <c r="E15" i="4"/>
  <c r="E16" i="4" s="1"/>
  <c r="E17" i="4" s="1"/>
  <c r="E18" i="4" s="1"/>
  <c r="E19" i="4" s="1"/>
  <c r="E20" i="4" s="1"/>
  <c r="C20" i="4" s="1"/>
  <c r="C15" i="4"/>
  <c r="F3" i="3"/>
  <c r="E5" i="3"/>
  <c r="E7" i="3" s="1"/>
  <c r="C16" i="4" l="1"/>
  <c r="E8" i="3"/>
  <c r="E9" i="3" s="1"/>
  <c r="E11" i="3" s="1"/>
  <c r="G3" i="3"/>
  <c r="F5" i="3"/>
  <c r="F7" i="3" s="1"/>
  <c r="C17" i="4" l="1"/>
  <c r="E12" i="3"/>
  <c r="E13" i="3"/>
  <c r="F8" i="3"/>
  <c r="F9" i="3" s="1"/>
  <c r="F11" i="3" s="1"/>
  <c r="H3" i="3"/>
  <c r="G5" i="3"/>
  <c r="G7" i="3" s="1"/>
  <c r="C18" i="4" l="1"/>
  <c r="C19" i="4"/>
  <c r="F12" i="3"/>
  <c r="F13" i="3" s="1"/>
  <c r="G8" i="3"/>
  <c r="G9" i="3" s="1"/>
  <c r="G11" i="3" s="1"/>
  <c r="I3" i="3"/>
  <c r="H5" i="3"/>
  <c r="H7" i="3" s="1"/>
  <c r="H8" i="3" l="1"/>
  <c r="H9" i="3" s="1"/>
  <c r="H11" i="3" s="1"/>
  <c r="J3" i="3"/>
  <c r="I5" i="3"/>
  <c r="I7" i="3" s="1"/>
  <c r="G12" i="3"/>
  <c r="G13" i="3"/>
  <c r="I8" i="3" l="1"/>
  <c r="I9" i="3" s="1"/>
  <c r="I11" i="3" s="1"/>
  <c r="K3" i="3"/>
  <c r="J5" i="3"/>
  <c r="J7" i="3" s="1"/>
  <c r="H12" i="3"/>
  <c r="H13" i="3" s="1"/>
  <c r="M4" i="3"/>
  <c r="I12" i="3" l="1"/>
  <c r="I13" i="3"/>
  <c r="J8" i="3"/>
  <c r="J9" i="3" s="1"/>
  <c r="J11" i="3" s="1"/>
  <c r="L3" i="3"/>
  <c r="K5" i="3"/>
  <c r="K7" i="3" s="1"/>
  <c r="N4" i="3"/>
  <c r="J12" i="3" l="1"/>
  <c r="J13" i="3" s="1"/>
  <c r="K8" i="3"/>
  <c r="K9" i="3" s="1"/>
  <c r="K11" i="3" s="1"/>
  <c r="M3" i="3"/>
  <c r="L5" i="3"/>
  <c r="L7" i="3" s="1"/>
  <c r="O4" i="3"/>
  <c r="K12" i="3" l="1"/>
  <c r="K13" i="3"/>
  <c r="N3" i="3"/>
  <c r="M5" i="3"/>
  <c r="M7" i="3" s="1"/>
  <c r="L8" i="3"/>
  <c r="L9" i="3" s="1"/>
  <c r="L11" i="3" s="1"/>
  <c r="P4" i="3"/>
  <c r="L12" i="3" l="1"/>
  <c r="L13" i="3" s="1"/>
  <c r="M8" i="3"/>
  <c r="M9" i="3" s="1"/>
  <c r="M11" i="3" s="1"/>
  <c r="O3" i="3"/>
  <c r="N5" i="3"/>
  <c r="Q4" i="3"/>
  <c r="M12" i="3" l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C16" i="3" s="1"/>
  <c r="C18" i="3" s="1"/>
  <c r="P3" i="3"/>
  <c r="O5" i="3"/>
  <c r="Q3" i="3" l="1"/>
  <c r="Q5" i="3" s="1"/>
  <c r="P5" i="3"/>
</calcChain>
</file>

<file path=xl/sharedStrings.xml><?xml version="1.0" encoding="utf-8"?>
<sst xmlns="http://schemas.openxmlformats.org/spreadsheetml/2006/main" count="78" uniqueCount="69">
  <si>
    <t>Price</t>
  </si>
  <si>
    <t>Shares</t>
  </si>
  <si>
    <t>MC</t>
  </si>
  <si>
    <t>Cash</t>
  </si>
  <si>
    <t>Debt</t>
  </si>
  <si>
    <t>EV</t>
  </si>
  <si>
    <t>Name</t>
  </si>
  <si>
    <t>Tralesinidase Alfa</t>
  </si>
  <si>
    <t>Indication</t>
  </si>
  <si>
    <t>MPS IIIB</t>
  </si>
  <si>
    <t>Phase</t>
  </si>
  <si>
    <t>BLA Q126</t>
  </si>
  <si>
    <t>Main</t>
  </si>
  <si>
    <t>Generic</t>
  </si>
  <si>
    <t>tralesinidase</t>
  </si>
  <si>
    <t>Brand</t>
  </si>
  <si>
    <t>Sanfillipo</t>
  </si>
  <si>
    <t>Revenue</t>
  </si>
  <si>
    <t>TAM</t>
  </si>
  <si>
    <t>Share</t>
  </si>
  <si>
    <t>COGS</t>
  </si>
  <si>
    <t>Gross Profit</t>
  </si>
  <si>
    <t>SG&amp;A</t>
  </si>
  <si>
    <t>Op Inc</t>
  </si>
  <si>
    <t>Taxes</t>
  </si>
  <si>
    <t>Net Inc</t>
  </si>
  <si>
    <t>Discount</t>
  </si>
  <si>
    <t>NPV</t>
  </si>
  <si>
    <t>Ecuador</t>
  </si>
  <si>
    <t>https://pubmed.ncbi.nlm.nih.gov/41008709/</t>
  </si>
  <si>
    <t>Egypt</t>
  </si>
  <si>
    <t>https://pubmed.ncbi.nlm.nih.gov/41071200/</t>
  </si>
  <si>
    <t>Kazakhstan</t>
  </si>
  <si>
    <t>https://pubmed.ncbi.nlm.nih.gov/40150022/</t>
  </si>
  <si>
    <t>https://pmc.ncbi.nlm.nih.gov/articles/PMC11913520/</t>
  </si>
  <si>
    <t>Turkey</t>
  </si>
  <si>
    <t>US</t>
  </si>
  <si>
    <t>Company</t>
  </si>
  <si>
    <t>Sum</t>
  </si>
  <si>
    <t>Brazil</t>
  </si>
  <si>
    <t>Canada</t>
  </si>
  <si>
    <t>Japan</t>
  </si>
  <si>
    <t>France</t>
  </si>
  <si>
    <t>Germany</t>
  </si>
  <si>
    <t>Italy</t>
  </si>
  <si>
    <t>China</t>
  </si>
  <si>
    <t>https://pubmed.ncbi.nlm.nih.gov/39243096/</t>
  </si>
  <si>
    <t>Poland</t>
  </si>
  <si>
    <t>Iran</t>
  </si>
  <si>
    <t>Mexico</t>
  </si>
  <si>
    <t>https://pubmed.ncbi.nlm.nih.gov/38488524/</t>
  </si>
  <si>
    <t>Kosovo</t>
  </si>
  <si>
    <t>Saudi Arabia</t>
  </si>
  <si>
    <t>https://pubmed.ncbi.nlm.nih.gov/36415369/</t>
  </si>
  <si>
    <t>https://pubmed.ncbi.nlm.nih.gov/35709957/</t>
  </si>
  <si>
    <t>https://pubmed.ncbi.nlm.nih.gov/34709531/</t>
  </si>
  <si>
    <t>https://pubmed.ncbi.nlm.nih.gov/35525889/</t>
  </si>
  <si>
    <t>https://pubmed.ncbi.nlm.nih.gov/35626423/</t>
  </si>
  <si>
    <t>South Korea</t>
  </si>
  <si>
    <t>https://pubmed.ncbi.nlm.nih.gov/35629088/</t>
  </si>
  <si>
    <t>https://pubmed.ncbi.nlm.nih.gov/34806811/</t>
  </si>
  <si>
    <t>https://pubmed.ncbi.nlm.nih.gov/34349725/</t>
  </si>
  <si>
    <t>https://pubmed.ncbi.nlm.nih.gov/34051828/</t>
  </si>
  <si>
    <t>https://pubmed.ncbi.nlm.nih.gov/32106281/</t>
  </si>
  <si>
    <t>https://pubmed.ncbi.nlm.nih.gov/32014045/</t>
  </si>
  <si>
    <t>Taiwan</t>
  </si>
  <si>
    <t>https://pubmed.ncbi.nlm.nih.gov/31590383/</t>
  </si>
  <si>
    <t>Q425</t>
  </si>
  <si>
    <t>BLA 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</si>
</sst>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quotePrefix="1" applyFont="1"/>
    <xf numFmtId="3" fontId="0" fillId="0" borderId="0" xfId="0" applyNumberFormat="1"/>
    <xf numFmtId="9" fontId="0" fillId="0" borderId="0" xfId="0" applyNumberFormat="1"/>
    <xf numFmtId="3" fontId="2" fillId="0" borderId="0" xfId="0" applyNumberFormat="1" applyFont="1"/>
    <xf numFmtId="1" fontId="0" fillId="0" borderId="0" xfId="0" applyNumberFormat="1"/>
    <xf numFmtId="4" fontId="0" fillId="0" borderId="0" xfId="0" applyNumberFormat="1"/>
    <xf numFmtId="0" fontId="2" fillId="0" borderId="0" xfId="0" applyFont="1"/>
    <xf numFmtId="0" fontId="3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56264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448E-BA2B-4DC6-B734-08FEF4119EC0}">
  <dimension ref="B2:K7"/>
  <sheetViews>
    <sheetView tabSelected="1" zoomScale="175" zoomScaleNormal="175" workbookViewId="0">
      <selection activeCell="D5" sqref="D5"/>
    </sheetView>
  </sheetViews>
  <sheetFormatPr defaultRowHeight="12.5" x14ac:dyDescent="0.25"/>
  <cols>
    <col min="1" max="1" width="2.90625" style="1" customWidth="1"/>
    <col min="2" max="2" width="15.6328125" style="1" customWidth="1"/>
    <col min="3" max="3" width="9.7265625" style="1" customWidth="1"/>
    <col min="4" max="4" width="9.6328125" style="1" customWidth="1"/>
    <col min="5" max="16384" width="8.7265625" style="1"/>
  </cols>
  <sheetData>
    <row r="2" spans="2:11" x14ac:dyDescent="0.25">
      <c r="B2" s="7" t="s">
        <v>6</v>
      </c>
      <c r="C2" s="8" t="s">
        <v>8</v>
      </c>
      <c r="D2" s="8" t="s">
        <v>10</v>
      </c>
      <c r="E2" s="8"/>
      <c r="F2" s="8"/>
      <c r="G2" s="9"/>
      <c r="I2" s="1" t="s">
        <v>0</v>
      </c>
      <c r="J2" s="2">
        <v>60</v>
      </c>
    </row>
    <row r="3" spans="2:11" x14ac:dyDescent="0.25">
      <c r="B3" s="5" t="s">
        <v>7</v>
      </c>
      <c r="C3" s="10" t="s">
        <v>9</v>
      </c>
      <c r="D3" s="10" t="s">
        <v>11</v>
      </c>
      <c r="E3" s="10"/>
      <c r="F3" s="10"/>
      <c r="G3" s="11"/>
      <c r="I3" s="1" t="s">
        <v>1</v>
      </c>
      <c r="J3" s="3">
        <v>1.3720000000000001</v>
      </c>
      <c r="K3" s="4" t="s">
        <v>67</v>
      </c>
    </row>
    <row r="4" spans="2:11" x14ac:dyDescent="0.25">
      <c r="B4" s="5"/>
      <c r="C4" s="10"/>
      <c r="D4" s="10" t="s">
        <v>68</v>
      </c>
      <c r="E4" s="10"/>
      <c r="F4" s="10"/>
      <c r="G4" s="11"/>
      <c r="I4" s="1" t="s">
        <v>2</v>
      </c>
      <c r="J4" s="3">
        <f>+J2*J3</f>
        <v>82.320000000000007</v>
      </c>
    </row>
    <row r="5" spans="2:11" x14ac:dyDescent="0.25">
      <c r="B5" s="5"/>
      <c r="C5" s="10"/>
      <c r="D5" s="10"/>
      <c r="E5" s="10"/>
      <c r="F5" s="10"/>
      <c r="G5" s="11"/>
      <c r="I5" s="1" t="s">
        <v>3</v>
      </c>
      <c r="J5" s="3">
        <v>48.905999999999999</v>
      </c>
      <c r="K5" s="4" t="s">
        <v>67</v>
      </c>
    </row>
    <row r="6" spans="2:11" x14ac:dyDescent="0.25">
      <c r="B6" s="6"/>
      <c r="C6" s="12"/>
      <c r="D6" s="12"/>
      <c r="E6" s="12"/>
      <c r="F6" s="12"/>
      <c r="G6" s="13"/>
      <c r="I6" s="1" t="s">
        <v>4</v>
      </c>
      <c r="J6" s="3">
        <v>0</v>
      </c>
      <c r="K6" s="4" t="s">
        <v>67</v>
      </c>
    </row>
    <row r="7" spans="2:11" x14ac:dyDescent="0.25">
      <c r="I7" s="1" t="s">
        <v>5</v>
      </c>
      <c r="J7" s="3">
        <f>+J4-J5+J6</f>
        <v>33.414000000000009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1D32-C481-46C7-908B-DA026205D008}">
  <dimension ref="A1:AR2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:Q4"/>
    </sheetView>
  </sheetViews>
  <sheetFormatPr defaultRowHeight="14.5" x14ac:dyDescent="0.35"/>
  <cols>
    <col min="1" max="1" width="4.7265625" bestFit="1" customWidth="1"/>
    <col min="2" max="2" width="10.26953125" bestFit="1" customWidth="1"/>
    <col min="4" max="4" width="9.54296875" bestFit="1" customWidth="1"/>
  </cols>
  <sheetData>
    <row r="1" spans="1:44" x14ac:dyDescent="0.35">
      <c r="A1" s="21" t="s">
        <v>12</v>
      </c>
    </row>
    <row r="2" spans="1:44" x14ac:dyDescent="0.35">
      <c r="C2">
        <v>2025</v>
      </c>
      <c r="D2">
        <v>2026</v>
      </c>
      <c r="E2">
        <f>+D2+1</f>
        <v>2027</v>
      </c>
      <c r="F2">
        <f t="shared" ref="F2:Q2" si="0">+E2+1</f>
        <v>2028</v>
      </c>
      <c r="G2">
        <f t="shared" si="0"/>
        <v>2029</v>
      </c>
      <c r="H2">
        <f t="shared" si="0"/>
        <v>2030</v>
      </c>
      <c r="I2">
        <f t="shared" si="0"/>
        <v>2031</v>
      </c>
      <c r="J2">
        <f t="shared" si="0"/>
        <v>2032</v>
      </c>
      <c r="K2">
        <f t="shared" si="0"/>
        <v>2033</v>
      </c>
      <c r="L2">
        <f t="shared" si="0"/>
        <v>2034</v>
      </c>
      <c r="M2">
        <f t="shared" si="0"/>
        <v>2035</v>
      </c>
      <c r="N2">
        <f t="shared" si="0"/>
        <v>2036</v>
      </c>
      <c r="O2">
        <f t="shared" si="0"/>
        <v>2037</v>
      </c>
      <c r="P2">
        <f t="shared" si="0"/>
        <v>2038</v>
      </c>
      <c r="Q2">
        <f t="shared" si="0"/>
        <v>2039</v>
      </c>
    </row>
    <row r="3" spans="1:44" x14ac:dyDescent="0.35">
      <c r="B3" t="s">
        <v>16</v>
      </c>
      <c r="C3">
        <v>500</v>
      </c>
      <c r="D3">
        <f>+C3+1</f>
        <v>501</v>
      </c>
      <c r="E3">
        <f t="shared" ref="E3:Q3" si="1">+D3+1</f>
        <v>502</v>
      </c>
      <c r="F3">
        <f t="shared" si="1"/>
        <v>503</v>
      </c>
      <c r="G3">
        <f t="shared" si="1"/>
        <v>504</v>
      </c>
      <c r="H3">
        <f t="shared" si="1"/>
        <v>505</v>
      </c>
      <c r="I3">
        <f t="shared" si="1"/>
        <v>506</v>
      </c>
      <c r="J3">
        <f t="shared" si="1"/>
        <v>507</v>
      </c>
      <c r="K3">
        <f t="shared" si="1"/>
        <v>508</v>
      </c>
      <c r="L3">
        <f t="shared" si="1"/>
        <v>509</v>
      </c>
      <c r="M3">
        <f t="shared" si="1"/>
        <v>510</v>
      </c>
      <c r="N3">
        <f t="shared" si="1"/>
        <v>511</v>
      </c>
      <c r="O3">
        <f t="shared" si="1"/>
        <v>512</v>
      </c>
      <c r="P3">
        <f t="shared" si="1"/>
        <v>513</v>
      </c>
      <c r="Q3">
        <f t="shared" si="1"/>
        <v>514</v>
      </c>
    </row>
    <row r="4" spans="1:44" x14ac:dyDescent="0.35">
      <c r="B4" t="s">
        <v>0</v>
      </c>
      <c r="C4" s="19">
        <v>0.75</v>
      </c>
      <c r="D4" s="19">
        <f>+C4*1.03</f>
        <v>0.77249999999999996</v>
      </c>
      <c r="E4" s="19">
        <f t="shared" ref="E4:Q4" si="2">+D4*1.03</f>
        <v>0.79567500000000002</v>
      </c>
      <c r="F4" s="19">
        <f t="shared" si="2"/>
        <v>0.81954525</v>
      </c>
      <c r="G4" s="19">
        <f t="shared" si="2"/>
        <v>0.84413160750000005</v>
      </c>
      <c r="H4" s="19">
        <f t="shared" si="2"/>
        <v>0.86945555572500011</v>
      </c>
      <c r="I4" s="19">
        <f t="shared" si="2"/>
        <v>0.8955392223967501</v>
      </c>
      <c r="J4" s="19">
        <f t="shared" si="2"/>
        <v>0.9224053990686526</v>
      </c>
      <c r="K4" s="19">
        <f t="shared" si="2"/>
        <v>0.95007756104071217</v>
      </c>
      <c r="L4" s="19">
        <f t="shared" si="2"/>
        <v>0.97857988787193351</v>
      </c>
      <c r="M4" s="19">
        <f t="shared" si="2"/>
        <v>1.0079372845080916</v>
      </c>
      <c r="N4" s="19">
        <f t="shared" si="2"/>
        <v>1.0381754030433343</v>
      </c>
      <c r="O4" s="19">
        <f t="shared" si="2"/>
        <v>1.0693206651346343</v>
      </c>
      <c r="P4" s="19">
        <f t="shared" si="2"/>
        <v>1.1014002850886733</v>
      </c>
      <c r="Q4" s="19">
        <f t="shared" si="2"/>
        <v>1.1344422936413334</v>
      </c>
    </row>
    <row r="5" spans="1:44" x14ac:dyDescent="0.35">
      <c r="B5" t="s">
        <v>18</v>
      </c>
      <c r="C5" s="15">
        <f>+C3*C4</f>
        <v>375</v>
      </c>
      <c r="D5" s="15">
        <f t="shared" ref="D5:Q5" si="3">+D3*D4</f>
        <v>387.02249999999998</v>
      </c>
      <c r="E5" s="15">
        <f t="shared" si="3"/>
        <v>399.42885000000001</v>
      </c>
      <c r="F5" s="15">
        <f t="shared" si="3"/>
        <v>412.23126074999999</v>
      </c>
      <c r="G5" s="15">
        <f t="shared" si="3"/>
        <v>425.44233018</v>
      </c>
      <c r="H5" s="15">
        <f t="shared" si="3"/>
        <v>439.07505564112506</v>
      </c>
      <c r="I5" s="15">
        <f t="shared" si="3"/>
        <v>453.14284653275553</v>
      </c>
      <c r="J5" s="15">
        <f t="shared" si="3"/>
        <v>467.65953732780685</v>
      </c>
      <c r="K5" s="15">
        <f t="shared" si="3"/>
        <v>482.63940100868177</v>
      </c>
      <c r="L5" s="15">
        <f t="shared" si="3"/>
        <v>498.09716292681418</v>
      </c>
      <c r="M5" s="15">
        <f t="shared" si="3"/>
        <v>514.0480150991267</v>
      </c>
      <c r="N5" s="15">
        <f t="shared" si="3"/>
        <v>530.5076309551439</v>
      </c>
      <c r="O5" s="15">
        <f t="shared" si="3"/>
        <v>547.49218054893277</v>
      </c>
      <c r="P5" s="15">
        <f t="shared" si="3"/>
        <v>565.01834625048934</v>
      </c>
      <c r="Q5" s="15">
        <f t="shared" si="3"/>
        <v>583.10333893164534</v>
      </c>
    </row>
    <row r="6" spans="1:44" x14ac:dyDescent="0.35">
      <c r="B6" t="s">
        <v>19</v>
      </c>
      <c r="C6" s="16">
        <v>0</v>
      </c>
      <c r="D6" s="16">
        <v>0.01</v>
      </c>
      <c r="E6" s="16">
        <v>0.3</v>
      </c>
      <c r="F6" s="16">
        <v>0.4</v>
      </c>
      <c r="G6" s="16">
        <v>0.5</v>
      </c>
      <c r="H6" s="16">
        <v>0.6</v>
      </c>
      <c r="I6" s="16">
        <v>0.65</v>
      </c>
      <c r="J6" s="16">
        <v>0.7</v>
      </c>
      <c r="K6" s="16">
        <v>0.75</v>
      </c>
      <c r="L6" s="16">
        <v>0.8</v>
      </c>
      <c r="M6" s="16">
        <v>0.85</v>
      </c>
    </row>
    <row r="7" spans="1:44" s="17" customFormat="1" x14ac:dyDescent="0.35">
      <c r="B7" s="17" t="s">
        <v>17</v>
      </c>
      <c r="D7" s="17">
        <f>+D5*D6</f>
        <v>3.870225</v>
      </c>
      <c r="E7" s="17">
        <f>+E5*E6</f>
        <v>119.828655</v>
      </c>
      <c r="F7" s="17">
        <f>+F5*F6</f>
        <v>164.89250430000001</v>
      </c>
      <c r="G7" s="17">
        <f t="shared" ref="G7:M7" si="4">+G5*G6</f>
        <v>212.72116509</v>
      </c>
      <c r="H7" s="17">
        <f t="shared" si="4"/>
        <v>263.44503338467501</v>
      </c>
      <c r="I7" s="17">
        <f t="shared" si="4"/>
        <v>294.5428502462911</v>
      </c>
      <c r="J7" s="17">
        <f t="shared" si="4"/>
        <v>327.3616761294648</v>
      </c>
      <c r="K7" s="17">
        <f t="shared" si="4"/>
        <v>361.97955075651134</v>
      </c>
      <c r="L7" s="17">
        <f t="shared" si="4"/>
        <v>398.47773034145138</v>
      </c>
      <c r="M7" s="17">
        <f t="shared" si="4"/>
        <v>436.94081283425766</v>
      </c>
    </row>
    <row r="8" spans="1:44" x14ac:dyDescent="0.35">
      <c r="B8" t="s">
        <v>20</v>
      </c>
      <c r="D8" s="18">
        <f>+D7*0.1</f>
        <v>0.38702250000000005</v>
      </c>
      <c r="E8" s="18">
        <f t="shared" ref="E8:M8" si="5">+E7*0.1</f>
        <v>11.982865500000001</v>
      </c>
      <c r="F8" s="18">
        <f t="shared" si="5"/>
        <v>16.489250430000002</v>
      </c>
      <c r="G8" s="18">
        <f t="shared" si="5"/>
        <v>21.272116509</v>
      </c>
      <c r="H8" s="18">
        <f t="shared" si="5"/>
        <v>26.344503338467504</v>
      </c>
      <c r="I8" s="18">
        <f t="shared" si="5"/>
        <v>29.454285024629112</v>
      </c>
      <c r="J8" s="18">
        <f t="shared" si="5"/>
        <v>32.736167612946481</v>
      </c>
      <c r="K8" s="18">
        <f t="shared" si="5"/>
        <v>36.197955075651137</v>
      </c>
      <c r="L8" s="18">
        <f t="shared" si="5"/>
        <v>39.847773034145142</v>
      </c>
      <c r="M8" s="18">
        <f t="shared" si="5"/>
        <v>43.694081283425767</v>
      </c>
    </row>
    <row r="9" spans="1:44" x14ac:dyDescent="0.35">
      <c r="B9" t="s">
        <v>21</v>
      </c>
      <c r="D9" s="15">
        <f>+D7-D8</f>
        <v>3.4832025</v>
      </c>
      <c r="E9" s="15">
        <f t="shared" ref="E9:M9" si="6">+E7-E8</f>
        <v>107.8457895</v>
      </c>
      <c r="F9" s="15">
        <f t="shared" si="6"/>
        <v>148.40325387000001</v>
      </c>
      <c r="G9" s="15">
        <f t="shared" si="6"/>
        <v>191.449048581</v>
      </c>
      <c r="H9" s="15">
        <f t="shared" si="6"/>
        <v>237.1005300462075</v>
      </c>
      <c r="I9" s="15">
        <f t="shared" si="6"/>
        <v>265.08856522166201</v>
      </c>
      <c r="J9" s="15">
        <f t="shared" si="6"/>
        <v>294.62550851651832</v>
      </c>
      <c r="K9" s="15">
        <f t="shared" si="6"/>
        <v>325.78159568086022</v>
      </c>
      <c r="L9" s="15">
        <f t="shared" si="6"/>
        <v>358.62995730730626</v>
      </c>
      <c r="M9" s="15">
        <f t="shared" si="6"/>
        <v>393.2467315508319</v>
      </c>
    </row>
    <row r="10" spans="1:44" x14ac:dyDescent="0.35">
      <c r="B10" t="s">
        <v>22</v>
      </c>
      <c r="D10">
        <v>50</v>
      </c>
      <c r="E10">
        <v>50</v>
      </c>
      <c r="F10">
        <v>50</v>
      </c>
      <c r="G10">
        <v>50</v>
      </c>
      <c r="H10">
        <v>50</v>
      </c>
      <c r="I10">
        <v>50</v>
      </c>
      <c r="J10">
        <v>50</v>
      </c>
      <c r="K10">
        <v>50</v>
      </c>
      <c r="L10">
        <v>50</v>
      </c>
      <c r="M10">
        <v>50</v>
      </c>
    </row>
    <row r="11" spans="1:44" x14ac:dyDescent="0.35">
      <c r="B11" t="s">
        <v>23</v>
      </c>
      <c r="D11" s="15">
        <f>+D9-D10</f>
        <v>-46.516797500000003</v>
      </c>
      <c r="E11" s="15">
        <f t="shared" ref="E11:M11" si="7">+E9-E10</f>
        <v>57.845789499999995</v>
      </c>
      <c r="F11" s="15">
        <f t="shared" si="7"/>
        <v>98.403253870000015</v>
      </c>
      <c r="G11" s="15">
        <f t="shared" si="7"/>
        <v>141.449048581</v>
      </c>
      <c r="H11" s="15">
        <f t="shared" si="7"/>
        <v>187.1005300462075</v>
      </c>
      <c r="I11" s="15">
        <f t="shared" si="7"/>
        <v>215.08856522166201</v>
      </c>
      <c r="J11" s="15">
        <f t="shared" si="7"/>
        <v>244.62550851651832</v>
      </c>
      <c r="K11" s="15">
        <f t="shared" si="7"/>
        <v>275.78159568086022</v>
      </c>
      <c r="L11" s="15">
        <f t="shared" si="7"/>
        <v>308.62995730730626</v>
      </c>
      <c r="M11" s="15">
        <f t="shared" si="7"/>
        <v>343.2467315508319</v>
      </c>
    </row>
    <row r="12" spans="1:44" x14ac:dyDescent="0.35">
      <c r="B12" t="s">
        <v>24</v>
      </c>
      <c r="D12" s="15">
        <v>0</v>
      </c>
      <c r="E12" s="15">
        <f>+E11*0.15</f>
        <v>8.6768684249999986</v>
      </c>
      <c r="F12" s="15">
        <f t="shared" ref="F12:M12" si="8">+F11*0.15</f>
        <v>14.760488080500002</v>
      </c>
      <c r="G12" s="15">
        <f t="shared" si="8"/>
        <v>21.217357287149998</v>
      </c>
      <c r="H12" s="15">
        <f t="shared" si="8"/>
        <v>28.065079506931124</v>
      </c>
      <c r="I12" s="15">
        <f t="shared" si="8"/>
        <v>32.263284783249297</v>
      </c>
      <c r="J12" s="15">
        <f t="shared" si="8"/>
        <v>36.693826277477747</v>
      </c>
      <c r="K12" s="15">
        <f t="shared" si="8"/>
        <v>41.367239352129033</v>
      </c>
      <c r="L12" s="15">
        <f t="shared" si="8"/>
        <v>46.29449359609594</v>
      </c>
      <c r="M12" s="15">
        <f t="shared" si="8"/>
        <v>51.487009732624784</v>
      </c>
    </row>
    <row r="13" spans="1:44" x14ac:dyDescent="0.35">
      <c r="B13" t="s">
        <v>25</v>
      </c>
      <c r="D13" s="15">
        <f>+D11-D12</f>
        <v>-46.516797500000003</v>
      </c>
      <c r="E13" s="15">
        <f t="shared" ref="E13:M13" si="9">+E11-E12</f>
        <v>49.168921075</v>
      </c>
      <c r="F13" s="15">
        <f t="shared" si="9"/>
        <v>83.642765789500018</v>
      </c>
      <c r="G13" s="15">
        <f t="shared" si="9"/>
        <v>120.23169129385001</v>
      </c>
      <c r="H13" s="15">
        <f t="shared" si="9"/>
        <v>159.03545053927638</v>
      </c>
      <c r="I13" s="15">
        <f t="shared" si="9"/>
        <v>182.8252804384127</v>
      </c>
      <c r="J13" s="15">
        <f t="shared" si="9"/>
        <v>207.93168223904058</v>
      </c>
      <c r="K13" s="15">
        <f t="shared" si="9"/>
        <v>234.41435632873117</v>
      </c>
      <c r="L13" s="15">
        <f t="shared" si="9"/>
        <v>262.33546371121031</v>
      </c>
      <c r="M13" s="15">
        <f t="shared" si="9"/>
        <v>291.75972181820714</v>
      </c>
      <c r="N13" s="15">
        <f>+M13*0.95</f>
        <v>277.17173572729678</v>
      </c>
      <c r="O13" s="15">
        <f t="shared" ref="O13:AR13" si="10">+N13*0.95</f>
        <v>263.31314894093191</v>
      </c>
      <c r="P13" s="15">
        <f t="shared" si="10"/>
        <v>250.1474914938853</v>
      </c>
      <c r="Q13" s="15">
        <f t="shared" si="10"/>
        <v>237.64011691919103</v>
      </c>
      <c r="R13" s="15">
        <f t="shared" si="10"/>
        <v>225.75811107323148</v>
      </c>
      <c r="S13" s="15">
        <f t="shared" si="10"/>
        <v>214.4702055195699</v>
      </c>
      <c r="T13" s="15">
        <f t="shared" si="10"/>
        <v>203.7466952435914</v>
      </c>
      <c r="U13" s="15">
        <f t="shared" si="10"/>
        <v>193.55936048141183</v>
      </c>
      <c r="V13" s="15">
        <f t="shared" si="10"/>
        <v>183.88139245734124</v>
      </c>
      <c r="W13" s="15">
        <f t="shared" si="10"/>
        <v>174.68732283447417</v>
      </c>
      <c r="X13" s="15">
        <f t="shared" si="10"/>
        <v>165.95295669275046</v>
      </c>
      <c r="Y13" s="15">
        <f t="shared" si="10"/>
        <v>157.65530885811293</v>
      </c>
      <c r="Z13" s="15">
        <f t="shared" si="10"/>
        <v>149.77254341520728</v>
      </c>
      <c r="AA13" s="15">
        <f t="shared" si="10"/>
        <v>142.28391624444691</v>
      </c>
      <c r="AB13" s="15">
        <f t="shared" si="10"/>
        <v>135.16972043222455</v>
      </c>
      <c r="AC13" s="15">
        <f t="shared" si="10"/>
        <v>128.4112344106133</v>
      </c>
      <c r="AD13" s="15">
        <f t="shared" si="10"/>
        <v>121.99067269008263</v>
      </c>
      <c r="AE13" s="15">
        <f t="shared" si="10"/>
        <v>115.89113905557849</v>
      </c>
      <c r="AF13" s="15">
        <f t="shared" si="10"/>
        <v>110.09658210279956</v>
      </c>
      <c r="AG13" s="15">
        <f t="shared" si="10"/>
        <v>104.59175299765958</v>
      </c>
      <c r="AH13" s="15">
        <f t="shared" si="10"/>
        <v>99.362165347776596</v>
      </c>
      <c r="AI13" s="15">
        <f t="shared" si="10"/>
        <v>94.394057080387768</v>
      </c>
      <c r="AJ13" s="15">
        <f t="shared" si="10"/>
        <v>89.674354226368379</v>
      </c>
      <c r="AK13" s="15">
        <f t="shared" si="10"/>
        <v>85.19063651504996</v>
      </c>
      <c r="AL13" s="15">
        <f t="shared" si="10"/>
        <v>80.931104689297456</v>
      </c>
      <c r="AM13" s="15">
        <f t="shared" si="10"/>
        <v>76.88454945483258</v>
      </c>
      <c r="AN13" s="15">
        <f t="shared" si="10"/>
        <v>73.040321982090944</v>
      </c>
      <c r="AO13" s="15">
        <f t="shared" si="10"/>
        <v>69.388305882986387</v>
      </c>
      <c r="AP13" s="15">
        <f t="shared" si="10"/>
        <v>65.918890588837058</v>
      </c>
      <c r="AQ13" s="15">
        <f t="shared" si="10"/>
        <v>62.622946059395204</v>
      </c>
      <c r="AR13" s="15">
        <f t="shared" si="10"/>
        <v>59.491798756425439</v>
      </c>
    </row>
    <row r="15" spans="1:44" x14ac:dyDescent="0.35">
      <c r="B15" t="s">
        <v>26</v>
      </c>
      <c r="C15" s="16">
        <v>0.09</v>
      </c>
    </row>
    <row r="16" spans="1:44" x14ac:dyDescent="0.35">
      <c r="B16" t="s">
        <v>27</v>
      </c>
      <c r="C16" s="15">
        <f>NPV(C15,D13:BZ13)</f>
        <v>1660.7622319122404</v>
      </c>
    </row>
    <row r="17" spans="2:6" x14ac:dyDescent="0.35">
      <c r="B17" t="s">
        <v>1</v>
      </c>
      <c r="C17">
        <f>0.75+1</f>
        <v>1.75</v>
      </c>
      <c r="E17" s="20">
        <v>169</v>
      </c>
    </row>
    <row r="18" spans="2:6" x14ac:dyDescent="0.35">
      <c r="B18" t="s">
        <v>0</v>
      </c>
      <c r="C18" s="19">
        <f>+C16/C17</f>
        <v>949.00698966413734</v>
      </c>
      <c r="E18" s="20">
        <v>740</v>
      </c>
    </row>
    <row r="19" spans="2:6" x14ac:dyDescent="0.35">
      <c r="E19" s="20">
        <v>30</v>
      </c>
    </row>
    <row r="20" spans="2:6" x14ac:dyDescent="0.35">
      <c r="E20" s="20">
        <v>311</v>
      </c>
    </row>
    <row r="21" spans="2:6" x14ac:dyDescent="0.35">
      <c r="E21" s="20">
        <v>635</v>
      </c>
    </row>
    <row r="22" spans="2:6" x14ac:dyDescent="0.35">
      <c r="E22" s="20">
        <v>480</v>
      </c>
    </row>
    <row r="23" spans="2:6" x14ac:dyDescent="0.35">
      <c r="E23">
        <f>AVERAGE(E17:E22)</f>
        <v>394.16666666666669</v>
      </c>
      <c r="F23">
        <f>MEDIAN(E17:E22)</f>
        <v>395.5</v>
      </c>
    </row>
  </sheetData>
  <hyperlinks>
    <hyperlink ref="A1" location="Main!A1" display="Main" xr:uid="{C2097962-96CB-4302-8401-42296673A07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7A48-03B3-47C2-8A7B-56BF2A6343C7}">
  <dimension ref="A1:C4"/>
  <sheetViews>
    <sheetView zoomScale="190" zoomScaleNormal="190" workbookViewId="0">
      <selection activeCell="B5" sqref="B5"/>
    </sheetView>
  </sheetViews>
  <sheetFormatPr defaultRowHeight="12.5" x14ac:dyDescent="0.25"/>
  <cols>
    <col min="1" max="1" width="4.6328125" style="1" bestFit="1" customWidth="1"/>
    <col min="2" max="16384" width="8.7265625" style="1"/>
  </cols>
  <sheetData>
    <row r="1" spans="1:3" x14ac:dyDescent="0.25">
      <c r="A1" s="1" t="s">
        <v>12</v>
      </c>
    </row>
    <row r="2" spans="1:3" x14ac:dyDescent="0.25">
      <c r="B2" s="1" t="s">
        <v>15</v>
      </c>
    </row>
    <row r="3" spans="1:3" x14ac:dyDescent="0.25">
      <c r="B3" s="1" t="s">
        <v>13</v>
      </c>
      <c r="C3" s="14" t="s">
        <v>14</v>
      </c>
    </row>
    <row r="4" spans="1:3" x14ac:dyDescent="0.25">
      <c r="B4" s="1" t="s">
        <v>8</v>
      </c>
      <c r="C4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2572-F73F-4214-9739-7B872919F850}">
  <dimension ref="A1:G23"/>
  <sheetViews>
    <sheetView zoomScale="160" zoomScaleNormal="160" workbookViewId="0"/>
  </sheetViews>
  <sheetFormatPr defaultRowHeight="14.5" x14ac:dyDescent="0.35"/>
  <cols>
    <col min="1" max="1" width="4.7265625" bestFit="1" customWidth="1"/>
    <col min="2" max="2" width="11.7265625" customWidth="1"/>
    <col min="4" max="4" width="12.36328125" customWidth="1"/>
    <col min="5" max="5" width="9.81640625" customWidth="1"/>
  </cols>
  <sheetData>
    <row r="1" spans="1:7" x14ac:dyDescent="0.35">
      <c r="A1" s="21" t="s">
        <v>12</v>
      </c>
    </row>
    <row r="2" spans="1:7" s="20" customFormat="1" x14ac:dyDescent="0.35">
      <c r="B2" s="20" t="s">
        <v>38</v>
      </c>
      <c r="C2" s="17">
        <f>SUM(C3:C20)</f>
        <v>443.1098715382966</v>
      </c>
    </row>
    <row r="3" spans="1:7" x14ac:dyDescent="0.35">
      <c r="B3" t="s">
        <v>36</v>
      </c>
      <c r="C3" s="15">
        <v>135</v>
      </c>
      <c r="D3" s="15">
        <v>330000000</v>
      </c>
      <c r="E3" s="15">
        <f>+D3/C3</f>
        <v>2444444.4444444445</v>
      </c>
      <c r="F3" t="s">
        <v>37</v>
      </c>
      <c r="G3" t="s">
        <v>62</v>
      </c>
    </row>
    <row r="4" spans="1:7" x14ac:dyDescent="0.35">
      <c r="B4" t="s">
        <v>28</v>
      </c>
      <c r="C4" s="15">
        <v>24</v>
      </c>
      <c r="D4" s="15">
        <v>18140000</v>
      </c>
      <c r="E4" s="15">
        <f>+D4/C4</f>
        <v>755833.33333333337</v>
      </c>
      <c r="F4" t="s">
        <v>29</v>
      </c>
    </row>
    <row r="5" spans="1:7" x14ac:dyDescent="0.35">
      <c r="B5" t="s">
        <v>30</v>
      </c>
      <c r="C5" s="15">
        <v>11</v>
      </c>
      <c r="D5" s="15">
        <v>116500000</v>
      </c>
      <c r="E5" s="15">
        <f>+D5/C5</f>
        <v>10590909.090909092</v>
      </c>
      <c r="F5" t="s">
        <v>31</v>
      </c>
    </row>
    <row r="6" spans="1:7" x14ac:dyDescent="0.35">
      <c r="B6" t="s">
        <v>32</v>
      </c>
      <c r="C6" s="15"/>
      <c r="D6" s="15"/>
      <c r="F6" t="s">
        <v>33</v>
      </c>
    </row>
    <row r="7" spans="1:7" x14ac:dyDescent="0.35">
      <c r="B7" t="s">
        <v>35</v>
      </c>
      <c r="C7" s="15">
        <v>8</v>
      </c>
      <c r="D7" s="15">
        <v>85520000</v>
      </c>
      <c r="E7" s="15">
        <f>+D7/C7</f>
        <v>10690000</v>
      </c>
      <c r="F7" t="s">
        <v>34</v>
      </c>
    </row>
    <row r="8" spans="1:7" x14ac:dyDescent="0.35">
      <c r="B8" t="s">
        <v>39</v>
      </c>
      <c r="C8" s="15">
        <v>110</v>
      </c>
      <c r="D8" s="15">
        <v>212000000</v>
      </c>
      <c r="E8" s="15">
        <f>+D8/C8</f>
        <v>1927272.7272727273</v>
      </c>
      <c r="F8" t="s">
        <v>50</v>
      </c>
      <c r="G8" t="s">
        <v>60</v>
      </c>
    </row>
    <row r="9" spans="1:7" x14ac:dyDescent="0.35">
      <c r="B9" t="s">
        <v>48</v>
      </c>
      <c r="C9">
        <v>14</v>
      </c>
      <c r="D9" s="15">
        <v>91570000</v>
      </c>
      <c r="E9" s="15">
        <f>+D9/C9</f>
        <v>6540714.2857142854</v>
      </c>
    </row>
    <row r="10" spans="1:7" x14ac:dyDescent="0.35">
      <c r="B10" t="s">
        <v>51</v>
      </c>
      <c r="C10">
        <v>1</v>
      </c>
      <c r="D10" s="15">
        <v>1600000</v>
      </c>
      <c r="E10" s="15">
        <f>+D10/C10</f>
        <v>1600000</v>
      </c>
    </row>
    <row r="11" spans="1:7" x14ac:dyDescent="0.35">
      <c r="B11" t="s">
        <v>58</v>
      </c>
      <c r="C11" s="15">
        <v>14</v>
      </c>
      <c r="D11" s="15">
        <v>51750000</v>
      </c>
      <c r="E11" s="15">
        <f>+D11/C11</f>
        <v>3696428.5714285714</v>
      </c>
      <c r="F11" s="22" t="s">
        <v>59</v>
      </c>
    </row>
    <row r="12" spans="1:7" x14ac:dyDescent="0.35">
      <c r="B12" t="s">
        <v>65</v>
      </c>
      <c r="C12" s="15">
        <v>5</v>
      </c>
      <c r="D12" s="15"/>
      <c r="E12" s="15"/>
      <c r="F12" s="22" t="s">
        <v>64</v>
      </c>
      <c r="G12" s="22" t="s">
        <v>66</v>
      </c>
    </row>
    <row r="13" spans="1:7" x14ac:dyDescent="0.35">
      <c r="B13" t="s">
        <v>52</v>
      </c>
      <c r="C13" s="15">
        <f t="shared" ref="C13:C14" si="0">+D13/E13</f>
        <v>7.383855447074855</v>
      </c>
      <c r="D13" s="15">
        <v>35300000</v>
      </c>
      <c r="E13" s="15">
        <f>AVERAGE(E3:E11)</f>
        <v>4780700.3066378068</v>
      </c>
      <c r="F13" s="22" t="s">
        <v>53</v>
      </c>
    </row>
    <row r="14" spans="1:7" x14ac:dyDescent="0.35">
      <c r="B14" t="s">
        <v>47</v>
      </c>
      <c r="C14" s="15">
        <f t="shared" si="0"/>
        <v>7.6348646974003458</v>
      </c>
      <c r="D14" s="15">
        <v>36500000</v>
      </c>
      <c r="E14" s="15">
        <f>+E13</f>
        <v>4780700.3066378068</v>
      </c>
      <c r="F14" s="22" t="s">
        <v>56</v>
      </c>
    </row>
    <row r="15" spans="1:7" x14ac:dyDescent="0.35">
      <c r="B15" t="s">
        <v>40</v>
      </c>
      <c r="C15" s="15">
        <f t="shared" ref="C15:C20" si="1">+D15/E15</f>
        <v>8.6368099549495962</v>
      </c>
      <c r="D15" s="15">
        <v>41290000</v>
      </c>
      <c r="E15" s="15">
        <f>+E14</f>
        <v>4780700.3066378068</v>
      </c>
    </row>
    <row r="16" spans="1:7" x14ac:dyDescent="0.35">
      <c r="B16" t="s">
        <v>41</v>
      </c>
      <c r="C16" s="15">
        <f t="shared" si="1"/>
        <v>25.937622533634052</v>
      </c>
      <c r="D16" s="15">
        <v>124000000</v>
      </c>
      <c r="E16" s="15">
        <f>E15</f>
        <v>4780700.3066378068</v>
      </c>
    </row>
    <row r="17" spans="2:7" x14ac:dyDescent="0.35">
      <c r="B17" t="s">
        <v>42</v>
      </c>
      <c r="C17" s="15">
        <f t="shared" si="1"/>
        <v>14.328444706080102</v>
      </c>
      <c r="D17" s="15">
        <v>68500000</v>
      </c>
      <c r="E17" s="15">
        <f>+E16</f>
        <v>4780700.3066378068</v>
      </c>
    </row>
    <row r="18" spans="2:7" x14ac:dyDescent="0.35">
      <c r="B18" t="s">
        <v>43</v>
      </c>
      <c r="C18" s="15">
        <f t="shared" si="1"/>
        <v>17.468152078901451</v>
      </c>
      <c r="D18" s="15">
        <v>83510000</v>
      </c>
      <c r="E18" s="15">
        <f>+E17</f>
        <v>4780700.3066378068</v>
      </c>
    </row>
    <row r="19" spans="2:7" x14ac:dyDescent="0.35">
      <c r="B19" t="s">
        <v>44</v>
      </c>
      <c r="C19" s="15">
        <f t="shared" si="1"/>
        <v>12.339196397250587</v>
      </c>
      <c r="D19" s="15">
        <v>58990000</v>
      </c>
      <c r="E19" s="15">
        <f>+E18</f>
        <v>4780700.3066378068</v>
      </c>
      <c r="F19" t="s">
        <v>55</v>
      </c>
      <c r="G19" t="s">
        <v>61</v>
      </c>
    </row>
    <row r="20" spans="2:7" x14ac:dyDescent="0.35">
      <c r="B20" t="s">
        <v>49</v>
      </c>
      <c r="C20" s="15">
        <f t="shared" si="1"/>
        <v>27.380925723005625</v>
      </c>
      <c r="D20" s="15">
        <v>130900000</v>
      </c>
      <c r="E20" s="15">
        <f>+E19</f>
        <v>4780700.3066378068</v>
      </c>
      <c r="F20" s="21" t="s">
        <v>57</v>
      </c>
      <c r="G20" t="s">
        <v>63</v>
      </c>
    </row>
    <row r="22" spans="2:7" x14ac:dyDescent="0.35">
      <c r="B22" t="s">
        <v>45</v>
      </c>
      <c r="C22">
        <v>15</v>
      </c>
      <c r="F22" t="s">
        <v>46</v>
      </c>
    </row>
    <row r="23" spans="2:7" x14ac:dyDescent="0.35">
      <c r="C23">
        <v>65</v>
      </c>
      <c r="F23" t="s">
        <v>54</v>
      </c>
    </row>
  </sheetData>
  <hyperlinks>
    <hyperlink ref="F20" r:id="rId1" xr:uid="{494B32F2-C605-428E-A8D1-CFCD8ED4EF27}"/>
    <hyperlink ref="A1" location="Main!A1" display="Main" xr:uid="{BF235CD3-91BC-4770-A263-C1290CAD3C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tralesinidase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2025-10-06T13:26:06Z</dcterms:created>
  <dcterms:modified xsi:type="dcterms:W3CDTF">2026-03-20T14:46:37Z</dcterms:modified>
</cp:coreProperties>
</file>