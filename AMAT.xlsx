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3DD1B2E-0627-43C6-BF36-AE52BD7AD27B}" xr6:coauthVersionLast="47" xr6:coauthVersionMax="47" xr10:uidLastSave="{00000000-0000-0000-0000-000000000000}"/>
  <bookViews>
    <workbookView xWindow="5780" yWindow="4160" windowWidth="23600" windowHeight="13830" xr2:uid="{8FCE8A41-16C1-4EF7-92D6-76FBB8A04D3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2" l="1"/>
  <c r="K72" i="2"/>
  <c r="K70" i="2"/>
  <c r="K69" i="2"/>
  <c r="J69" i="2"/>
  <c r="I69" i="2"/>
  <c r="H69" i="2"/>
  <c r="K64" i="2"/>
  <c r="K63" i="2"/>
  <c r="K57" i="2"/>
  <c r="K59" i="2"/>
  <c r="K58" i="2"/>
  <c r="K50" i="2"/>
  <c r="J50" i="2"/>
  <c r="J42" i="2"/>
  <c r="K40" i="2"/>
  <c r="K35" i="2"/>
  <c r="K42" i="2" s="1"/>
  <c r="J34" i="2"/>
  <c r="K29" i="2"/>
  <c r="J29" i="2"/>
  <c r="K20" i="2"/>
  <c r="J20" i="2"/>
  <c r="J21" i="2" s="1"/>
  <c r="J23" i="2" s="1"/>
  <c r="J25" i="2" s="1"/>
  <c r="K16" i="2"/>
  <c r="J2" i="2"/>
  <c r="K2" i="2" s="1"/>
  <c r="H52" i="2"/>
  <c r="H50" i="2"/>
  <c r="I44" i="2"/>
  <c r="I50" i="2" s="1"/>
  <c r="I35" i="2"/>
  <c r="H42" i="2"/>
  <c r="I40" i="2"/>
  <c r="I42" i="2" s="1"/>
  <c r="H34" i="2"/>
  <c r="E20" i="2"/>
  <c r="E16" i="2"/>
  <c r="I29" i="2"/>
  <c r="I20" i="2"/>
  <c r="I16" i="2"/>
  <c r="I31" i="2" s="1"/>
  <c r="H2" i="2"/>
  <c r="R72" i="2"/>
  <c r="S29" i="2"/>
  <c r="S72" i="2"/>
  <c r="Z29" i="2"/>
  <c r="Y29" i="2"/>
  <c r="X29" i="2"/>
  <c r="W29" i="2"/>
  <c r="V29" i="2"/>
  <c r="U29" i="2"/>
  <c r="T29" i="2"/>
  <c r="V72" i="2"/>
  <c r="U72" i="2"/>
  <c r="T72" i="2"/>
  <c r="Y2" i="2"/>
  <c r="X2" i="2" s="1"/>
  <c r="W2" i="2" s="1"/>
  <c r="V2" i="2" s="1"/>
  <c r="U2" i="2" s="1"/>
  <c r="T2" i="2" s="1"/>
  <c r="S2" i="2" s="1"/>
  <c r="R2" i="2" s="1"/>
  <c r="Q2" i="2" s="1"/>
  <c r="AD72" i="2"/>
  <c r="AC72" i="2"/>
  <c r="AB72" i="2"/>
  <c r="AD52" i="2"/>
  <c r="AC52" i="2"/>
  <c r="AB52" i="2"/>
  <c r="AD32" i="2"/>
  <c r="AC32" i="2"/>
  <c r="AB32" i="2"/>
  <c r="AA32" i="2"/>
  <c r="Z32" i="2"/>
  <c r="AD31" i="2"/>
  <c r="AC31" i="2"/>
  <c r="AB31" i="2"/>
  <c r="AA31" i="2"/>
  <c r="Z31" i="2"/>
  <c r="AE29" i="2"/>
  <c r="AD29" i="2"/>
  <c r="AC29" i="2"/>
  <c r="AB29" i="2"/>
  <c r="AA29" i="2"/>
  <c r="AE72" i="2"/>
  <c r="AF72" i="2"/>
  <c r="AG72" i="2"/>
  <c r="AH72" i="2"/>
  <c r="AG22" i="2"/>
  <c r="AF22" i="2"/>
  <c r="AE22" i="2"/>
  <c r="AH29" i="2"/>
  <c r="AG29" i="2"/>
  <c r="AF29" i="2"/>
  <c r="AG20" i="2"/>
  <c r="AF20" i="2"/>
  <c r="AE20" i="2"/>
  <c r="AG16" i="2"/>
  <c r="AG31" i="2" s="1"/>
  <c r="AF16" i="2"/>
  <c r="AF31" i="2" s="1"/>
  <c r="AE16" i="2"/>
  <c r="AE31" i="2" s="1"/>
  <c r="F35" i="2"/>
  <c r="F40" i="2"/>
  <c r="AK2" i="2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J22" i="2"/>
  <c r="AI22" i="2"/>
  <c r="AH22" i="2"/>
  <c r="AJ72" i="2"/>
  <c r="AI72" i="2"/>
  <c r="AJ20" i="2"/>
  <c r="AI20" i="2"/>
  <c r="AH20" i="2"/>
  <c r="AH16" i="2"/>
  <c r="AH31" i="2" s="1"/>
  <c r="AJ30" i="2"/>
  <c r="AJ13" i="2"/>
  <c r="AJ14" i="2" s="1"/>
  <c r="AJ16" i="2" s="1"/>
  <c r="AJ31" i="2" s="1"/>
  <c r="AI13" i="2"/>
  <c r="AI14" i="2" s="1"/>
  <c r="AI29" i="2" s="1"/>
  <c r="G69" i="2"/>
  <c r="G63" i="2"/>
  <c r="G64" i="2" s="1"/>
  <c r="G58" i="2"/>
  <c r="G59" i="2" s="1"/>
  <c r="G44" i="2"/>
  <c r="G50" i="2" s="1"/>
  <c r="G40" i="2"/>
  <c r="G35" i="2"/>
  <c r="G34" i="2" s="1"/>
  <c r="F20" i="2"/>
  <c r="F21" i="2" s="1"/>
  <c r="F23" i="2" s="1"/>
  <c r="F25" i="2" s="1"/>
  <c r="F26" i="2" s="1"/>
  <c r="D20" i="2"/>
  <c r="D21" i="2" s="1"/>
  <c r="D23" i="2" s="1"/>
  <c r="D25" i="2" s="1"/>
  <c r="D26" i="2" s="1"/>
  <c r="C20" i="2"/>
  <c r="G20" i="2"/>
  <c r="C16" i="2"/>
  <c r="G16" i="2"/>
  <c r="G31" i="2" s="1"/>
  <c r="G29" i="2"/>
  <c r="K4" i="1"/>
  <c r="K7" i="1" s="1"/>
  <c r="J26" i="2" l="1"/>
  <c r="J52" i="2"/>
  <c r="K21" i="2"/>
  <c r="K23" i="2" s="1"/>
  <c r="K25" i="2" s="1"/>
  <c r="I34" i="2"/>
  <c r="E21" i="2"/>
  <c r="E23" i="2" s="1"/>
  <c r="E25" i="2" s="1"/>
  <c r="E26" i="2" s="1"/>
  <c r="I21" i="2"/>
  <c r="F42" i="2"/>
  <c r="AG21" i="2"/>
  <c r="AG32" i="2" s="1"/>
  <c r="AF21" i="2"/>
  <c r="AF32" i="2" s="1"/>
  <c r="G42" i="2"/>
  <c r="AI16" i="2"/>
  <c r="AJ21" i="2"/>
  <c r="AJ32" i="2" s="1"/>
  <c r="AE21" i="2"/>
  <c r="AH21" i="2"/>
  <c r="AH32" i="2" s="1"/>
  <c r="F34" i="2"/>
  <c r="AJ29" i="2"/>
  <c r="C21" i="2"/>
  <c r="C23" i="2" s="1"/>
  <c r="C25" i="2" s="1"/>
  <c r="C26" i="2" s="1"/>
  <c r="G21" i="2"/>
  <c r="K26" i="2" l="1"/>
  <c r="K52" i="2"/>
  <c r="I23" i="2"/>
  <c r="I25" i="2" s="1"/>
  <c r="I32" i="2"/>
  <c r="AF23" i="2"/>
  <c r="AF25" i="2" s="1"/>
  <c r="AG23" i="2"/>
  <c r="AG25" i="2" s="1"/>
  <c r="AJ23" i="2"/>
  <c r="AJ25" i="2" s="1"/>
  <c r="AE23" i="2"/>
  <c r="AE25" i="2" s="1"/>
  <c r="AE32" i="2"/>
  <c r="AF26" i="2"/>
  <c r="AF52" i="2"/>
  <c r="AI21" i="2"/>
  <c r="AI31" i="2"/>
  <c r="AG26" i="2"/>
  <c r="AG52" i="2"/>
  <c r="AH23" i="2"/>
  <c r="AH25" i="2" s="1"/>
  <c r="G32" i="2"/>
  <c r="G23" i="2"/>
  <c r="G25" i="2" s="1"/>
  <c r="I26" i="2" l="1"/>
  <c r="I52" i="2"/>
  <c r="AI32" i="2"/>
  <c r="AI23" i="2"/>
  <c r="AI25" i="2" s="1"/>
  <c r="AE26" i="2"/>
  <c r="AE52" i="2"/>
  <c r="AJ52" i="2"/>
  <c r="AJ26" i="2"/>
  <c r="AH52" i="2"/>
  <c r="AH26" i="2"/>
  <c r="G26" i="2"/>
  <c r="G52" i="2"/>
  <c r="AI26" i="2" l="1"/>
  <c r="AI52" i="2"/>
</calcChain>
</file>

<file path=xl/sharedStrings.xml><?xml version="1.0" encoding="utf-8"?>
<sst xmlns="http://schemas.openxmlformats.org/spreadsheetml/2006/main" count="95" uniqueCount="87">
  <si>
    <t>Price</t>
  </si>
  <si>
    <t>Shares</t>
  </si>
  <si>
    <t>MC</t>
  </si>
  <si>
    <t>Cash</t>
  </si>
  <si>
    <t>Debt</t>
  </si>
  <si>
    <t>EV</t>
  </si>
  <si>
    <t>Main</t>
  </si>
  <si>
    <t>Revenue</t>
  </si>
  <si>
    <t>COGS</t>
  </si>
  <si>
    <t>Gross Profit</t>
  </si>
  <si>
    <t>R&amp;D</t>
  </si>
  <si>
    <t>S&amp;M</t>
  </si>
  <si>
    <t>G&amp;A</t>
  </si>
  <si>
    <t>Revenue y/y</t>
  </si>
  <si>
    <t>Gross Margin</t>
  </si>
  <si>
    <t>Operating Margin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</si>
  <si>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</si>
  <si>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</si>
  <si>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</si>
  <si>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</si>
  <si>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</si>
  <si>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</si>
  <si>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</si>
  <si>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PP&amp;E</t>
  </si>
  <si>
    <t>AR</t>
  </si>
  <si>
    <t>Inventories</t>
  </si>
  <si>
    <t>OCA</t>
  </si>
  <si>
    <t>Goodwill</t>
  </si>
  <si>
    <t>DT</t>
  </si>
  <si>
    <t>Assets</t>
  </si>
  <si>
    <t>AP</t>
  </si>
  <si>
    <t>Contract</t>
  </si>
  <si>
    <t>SE</t>
  </si>
  <si>
    <t>L+SE</t>
  </si>
  <si>
    <t>Other</t>
  </si>
  <si>
    <t>CFFO</t>
  </si>
  <si>
    <t>WC</t>
  </si>
  <si>
    <t>Reported NI</t>
  </si>
  <si>
    <t>Model NI</t>
  </si>
  <si>
    <t>D&amp;A</t>
  </si>
  <si>
    <t>SBC</t>
  </si>
  <si>
    <t>CFFI</t>
  </si>
  <si>
    <t>CapEx</t>
  </si>
  <si>
    <t>Acquisitions</t>
  </si>
  <si>
    <t>Investments</t>
  </si>
  <si>
    <t>Buybacks</t>
  </si>
  <si>
    <t>CFFF</t>
  </si>
  <si>
    <t>ESOP</t>
  </si>
  <si>
    <t>Dividends</t>
  </si>
  <si>
    <t>wafer fabrication and display fabrication tools</t>
  </si>
  <si>
    <t>Founded</t>
  </si>
  <si>
    <t>300mm equipment used to fabricate semiconductor chips/integrated circuits (ICs)</t>
  </si>
  <si>
    <t>materials engineering</t>
  </si>
  <si>
    <t>process control</t>
  </si>
  <si>
    <t>advanced packaging</t>
  </si>
  <si>
    <t>conversion of patterns into device structures</t>
  </si>
  <si>
    <t>transistor and interconnect fabrication</t>
  </si>
  <si>
    <t>metrology</t>
  </si>
  <si>
    <t>inspection and review</t>
  </si>
  <si>
    <t>packaging technologies for connecting finished IC die</t>
  </si>
  <si>
    <t>Semi y/y</t>
  </si>
  <si>
    <t>Services</t>
  </si>
  <si>
    <t>Semiconductor Backlog</t>
  </si>
  <si>
    <t>Samsung: 15% (2023), 12% (2024)</t>
  </si>
  <si>
    <t>TSM: 19% (2023), 11% (2024)</t>
  </si>
  <si>
    <t>Varian acquisition 2011</t>
  </si>
  <si>
    <t>Services Backlog</t>
  </si>
  <si>
    <t>Semiconductor Systems</t>
  </si>
  <si>
    <t>Display+Other</t>
  </si>
  <si>
    <t>China</t>
  </si>
  <si>
    <t>US</t>
  </si>
  <si>
    <t>Korea</t>
  </si>
  <si>
    <t>Taiwan</t>
  </si>
  <si>
    <t>Net Cash</t>
  </si>
  <si>
    <t>Epitaxy (or epi) is a technique for growing silicon (e.g. silicon with another element) as a uniform crystalline structure on a wafer to form high quality material for the device circuity. Epi technology is used in device transistors to enhance chip speed.</t>
  </si>
  <si>
    <t>Ion implantation is a key technology for forming transistors and is used many times during chip fabrication. During ion implantation, wafers are bombarded by a beam of electrically-charged ions, called dopants, which can change the electrical properties of the exposed semiconductor material.</t>
  </si>
  <si>
    <t>Applied’s systems provide critical oxidation steps - like memory gate oxide, shallow trench isolation and liner oxide - for advanced device scaling.</t>
  </si>
  <si>
    <t>RTP is used primarily for annealing, which modifies the properties of deposited films. Applied’s single-wafer RTP systems are also used for growing high quality oxide and oxynitride films.</t>
  </si>
  <si>
    <t>PVD is used to deposit high quality metal films. Applications include metal gate, silicides, contact liner/barrier, interconnect copper barrier seed and metal hard mask.</t>
  </si>
  <si>
    <t>CVD is used to deposit dielectric and metal films on a wafer. During the CVD process, gases that contain atoms of the material to be deposited react on the wafer surface, forming a thin film of solid material.</t>
  </si>
  <si>
    <t>CMP is used to planarize a wafer surface, a process that allows subsequent photolithography patterning and material deposition steps to occur with greater accuracy, resulting in more uniform film layers with minimal thickness variations.</t>
  </si>
  <si>
    <t>ECD is a process by which metal atoms from a chemical fluid (an electrolyte) are deposited on the surface of an immersed object</t>
  </si>
  <si>
    <t>ALD technology enables ultra thin film growth of either a conducting or insulating material with uniform coverage in nanometer-sized structures.</t>
  </si>
  <si>
    <t>Etching is used many times throughout the IC manufacturing process to selectively remove material from the surface of a wafer. Applied offers systems for etching dielectric, metal, and silicon films to meet the requirements of advanced processing.</t>
  </si>
  <si>
    <t>FCF</t>
  </si>
  <si>
    <t>CIC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</si>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</sst>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quotePrefix="1"/>
    <xf numFmtId="1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4" fontId="1" fillId="0" borderId="0" xfId="0" applyNumberFormat="1" applyFon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6868677-55A2-4358-B2BB-492424D0F7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385053</xdr:colOff>
      <xdr:row>18</xdr:row>
      <xdr:rowOff>45101</xdr:rowOff>
    </xdr:from>
    <xdr:to>
      <xdr:col>8</xdr:col>
      <xdr:colOff>309865</xdr:colOff>
      <xdr:row>33</xdr:row>
      <xdr:rowOff>145305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EEDD3-391B-7CC9-92D0-56CECD31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053" y="2963399"/>
          <a:ext cx="4788642" cy="2532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32658</xdr:colOff>
      <xdr:row>0</xdr:row>
      <xdr:rowOff>0</xdr:rowOff>
    </xdr:from>
    <xdr:to>
      <xdr:col>11</xdr:col>
      <xdr:colOff>32658</xdr:colOff>
      <xdr:row>76</xdr:row>
      <xdr:rowOff>161192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8EE6FA-794A-951E-5F50-3E239A75E344}"/>
            </a:ext>
          </a:extLst>
        </xdr:cNvPr>
        <xdr:cNvCxnSpPr/>
      </xdr:nvCxnSpPr>
      <xdr:spPr>
        <a:xfrm>
          <a:off x="7823620" y="0"/>
          <a:ext cx="0" cy="122750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4053</xdr:colOff>
      <xdr:row>0</xdr:row>
      <xdr:rowOff>24319</xdr:rowOff>
    </xdr:from>
    <xdr:to>
      <xdr:col>36</xdr:col>
      <xdr:colOff>4053</xdr:colOff>
      <xdr:row>78</xdr:row>
      <xdr:rowOff>60403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000598C-954E-3298-CB29-005411DE8486}"/>
            </a:ext>
          </a:extLst>
        </xdr:cNvPr>
        <xdr:cNvCxnSpPr/>
      </xdr:nvCxnSpPr>
      <xdr:spPr>
        <a:xfrm>
          <a:off x="12772199" y="24319"/>
          <a:ext cx="0" cy="125579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9B30-572B-4034-92C9-B307A12C2221}">
  <dimension ref="B2:L45"/>
  <sheetViews>
    <sheetView tabSelected="1" zoomScale="190" zoomScaleNormal="190" workbookViewId="0">
      <selection activeCell="K7" sqref="K7"/>
    </sheetView>
  </sheetViews>
  <sheetFormatPr defaultRowHeight="12.5" x14ac:dyDescent="0.25"/>
  <cols>
    <col min="11" max="11" width="9.7265625" bestFit="1" customWidth="1"/>
  </cols>
  <sheetData>
    <row r="2" spans="2:12" x14ac:dyDescent="0.25">
      <c r="B2" s="5" t="s">
        <v>49</v>
      </c>
      <c r="J2" t="s">
        <v>0</v>
      </c>
      <c r="K2" s="1">
        <v>360</v>
      </c>
    </row>
    <row r="3" spans="2:12" x14ac:dyDescent="0.25">
      <c r="B3" t="s">
        <v>51</v>
      </c>
      <c r="J3" t="s">
        <v>1</v>
      </c>
      <c r="K3" s="2">
        <v>799</v>
      </c>
      <c r="L3" s="8" t="s">
        <v>86</v>
      </c>
    </row>
    <row r="4" spans="2:12" x14ac:dyDescent="0.25">
      <c r="J4" t="s">
        <v>2</v>
      </c>
      <c r="K4" s="2">
        <f>+K2*K3</f>
        <v>287640</v>
      </c>
    </row>
    <row r="5" spans="2:12" x14ac:dyDescent="0.25">
      <c r="B5" t="s">
        <v>52</v>
      </c>
      <c r="J5" t="s">
        <v>3</v>
      </c>
      <c r="K5" s="2">
        <v>13479</v>
      </c>
      <c r="L5" s="8" t="s">
        <v>86</v>
      </c>
    </row>
    <row r="6" spans="2:12" x14ac:dyDescent="0.25">
      <c r="B6" t="s">
        <v>53</v>
      </c>
      <c r="J6" t="s">
        <v>4</v>
      </c>
      <c r="K6" s="2">
        <v>6553</v>
      </c>
      <c r="L6" s="8" t="s">
        <v>86</v>
      </c>
    </row>
    <row r="7" spans="2:12" x14ac:dyDescent="0.25">
      <c r="B7" t="s">
        <v>54</v>
      </c>
      <c r="J7" t="s">
        <v>5</v>
      </c>
      <c r="K7" s="2">
        <f>+K4-K5+K6</f>
        <v>280714</v>
      </c>
    </row>
    <row r="8" spans="2:12" x14ac:dyDescent="0.25">
      <c r="B8" t="s">
        <v>55</v>
      </c>
    </row>
    <row r="9" spans="2:12" x14ac:dyDescent="0.25">
      <c r="B9" t="s">
        <v>56</v>
      </c>
      <c r="J9" t="s">
        <v>50</v>
      </c>
      <c r="K9">
        <v>1967</v>
      </c>
    </row>
    <row r="10" spans="2:12" x14ac:dyDescent="0.25">
      <c r="B10" t="s">
        <v>57</v>
      </c>
    </row>
    <row r="11" spans="2:12" x14ac:dyDescent="0.25">
      <c r="B11" t="s">
        <v>58</v>
      </c>
    </row>
    <row r="12" spans="2:12" x14ac:dyDescent="0.25">
      <c r="B12" t="s">
        <v>59</v>
      </c>
    </row>
    <row r="13" spans="2:12" x14ac:dyDescent="0.25">
      <c r="I13" t="s">
        <v>65</v>
      </c>
    </row>
    <row r="15" spans="2:12" x14ac:dyDescent="0.25">
      <c r="B15" t="s">
        <v>63</v>
      </c>
    </row>
    <row r="16" spans="2:12" x14ac:dyDescent="0.25">
      <c r="B16" t="s">
        <v>64</v>
      </c>
    </row>
    <row r="36" spans="2:2" x14ac:dyDescent="0.25">
      <c r="B36" t="s">
        <v>74</v>
      </c>
    </row>
    <row r="37" spans="2:2" x14ac:dyDescent="0.25">
      <c r="B37" t="s">
        <v>75</v>
      </c>
    </row>
    <row r="38" spans="2:2" x14ac:dyDescent="0.25">
      <c r="B38" t="s">
        <v>76</v>
      </c>
    </row>
    <row r="39" spans="2:2" x14ac:dyDescent="0.25">
      <c r="B39" t="s">
        <v>77</v>
      </c>
    </row>
    <row r="40" spans="2:2" x14ac:dyDescent="0.25">
      <c r="B40" t="s">
        <v>78</v>
      </c>
    </row>
    <row r="41" spans="2:2" x14ac:dyDescent="0.25">
      <c r="B41" t="s">
        <v>79</v>
      </c>
    </row>
    <row r="42" spans="2:2" x14ac:dyDescent="0.25">
      <c r="B42" t="s">
        <v>80</v>
      </c>
    </row>
    <row r="43" spans="2:2" x14ac:dyDescent="0.25">
      <c r="B43" t="s">
        <v>81</v>
      </c>
    </row>
    <row r="44" spans="2:2" x14ac:dyDescent="0.25">
      <c r="B44" t="s">
        <v>82</v>
      </c>
    </row>
    <row r="45" spans="2:2" x14ac:dyDescent="0.25">
      <c r="B45" t="s">
        <v>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C328-206B-416D-93E7-7AB15E2A4BC1}">
  <dimension ref="A1:AV72"/>
  <sheetViews>
    <sheetView zoomScale="130" zoomScaleNormal="130" workbookViewId="0">
      <pane xSplit="2" ySplit="2" topLeftCell="C23" activePane="bottomRight" state="frozen"/>
      <selection pane="topRight" activeCell="C1" sqref="C1"/>
      <selection pane="bottomLeft" activeCell="A3" sqref="A3"/>
      <selection pane="bottomRight" activeCell="K34" sqref="K34"/>
    </sheetView>
  </sheetViews>
  <sheetFormatPr defaultRowHeight="12.5" x14ac:dyDescent="0.25"/>
  <cols>
    <col min="1" max="1" width="5" bestFit="1" customWidth="1"/>
    <col min="2" max="2" width="20.81640625" customWidth="1"/>
    <col min="7" max="10" width="10.453125" customWidth="1"/>
  </cols>
  <sheetData>
    <row r="1" spans="1:48" x14ac:dyDescent="0.25">
      <c r="A1" t="s">
        <v>6</v>
      </c>
    </row>
    <row r="2" spans="1:48" s="4" customFormat="1" x14ac:dyDescent="0.25">
      <c r="C2" s="4">
        <v>45319</v>
      </c>
      <c r="E2" s="4">
        <v>45501</v>
      </c>
      <c r="G2" s="4">
        <v>45683</v>
      </c>
      <c r="H2" s="4">
        <f>+G2+90</f>
        <v>45773</v>
      </c>
      <c r="I2" s="4">
        <v>45865</v>
      </c>
      <c r="J2" s="4">
        <f>+I2+91</f>
        <v>45956</v>
      </c>
      <c r="K2" s="4">
        <f>+J2+91</f>
        <v>46047</v>
      </c>
      <c r="Q2" s="6">
        <f t="shared" ref="Q2:T2" si="0">+R2-1</f>
        <v>2005</v>
      </c>
      <c r="R2" s="6">
        <f t="shared" si="0"/>
        <v>2006</v>
      </c>
      <c r="S2" s="6">
        <f t="shared" si="0"/>
        <v>2007</v>
      </c>
      <c r="T2" s="6">
        <f t="shared" si="0"/>
        <v>2008</v>
      </c>
      <c r="U2" s="6">
        <f t="shared" ref="U2:X2" si="1">+V2-1</f>
        <v>2009</v>
      </c>
      <c r="V2" s="6">
        <f t="shared" si="1"/>
        <v>2010</v>
      </c>
      <c r="W2" s="6">
        <f t="shared" si="1"/>
        <v>2011</v>
      </c>
      <c r="X2" s="6">
        <f t="shared" si="1"/>
        <v>2012</v>
      </c>
      <c r="Y2" s="6">
        <f>+Z2-1</f>
        <v>2013</v>
      </c>
      <c r="Z2" s="6">
        <v>2014</v>
      </c>
      <c r="AA2" s="6">
        <v>2015</v>
      </c>
      <c r="AB2" s="6">
        <v>2016</v>
      </c>
      <c r="AC2" s="6">
        <v>2017</v>
      </c>
      <c r="AD2" s="6">
        <v>2018</v>
      </c>
      <c r="AE2" s="6">
        <v>2019</v>
      </c>
      <c r="AF2" s="6">
        <v>2020</v>
      </c>
      <c r="AG2" s="6">
        <v>2021</v>
      </c>
      <c r="AH2" s="6">
        <v>2022</v>
      </c>
      <c r="AI2" s="6">
        <v>2023</v>
      </c>
      <c r="AJ2" s="6">
        <v>2024</v>
      </c>
      <c r="AK2" s="6">
        <f t="shared" ref="AK2:AV2" si="2">+AJ2+1</f>
        <v>2025</v>
      </c>
      <c r="AL2" s="6">
        <f t="shared" si="2"/>
        <v>2026</v>
      </c>
      <c r="AM2" s="6">
        <f t="shared" si="2"/>
        <v>2027</v>
      </c>
      <c r="AN2" s="6">
        <f t="shared" si="2"/>
        <v>2028</v>
      </c>
      <c r="AO2" s="6">
        <f t="shared" si="2"/>
        <v>2029</v>
      </c>
      <c r="AP2" s="6">
        <f t="shared" si="2"/>
        <v>2030</v>
      </c>
      <c r="AQ2" s="6">
        <f t="shared" si="2"/>
        <v>2031</v>
      </c>
      <c r="AR2" s="6">
        <f t="shared" si="2"/>
        <v>2032</v>
      </c>
      <c r="AS2" s="6">
        <f t="shared" si="2"/>
        <v>2033</v>
      </c>
      <c r="AT2" s="6">
        <f t="shared" si="2"/>
        <v>2034</v>
      </c>
      <c r="AU2" s="6">
        <f t="shared" si="2"/>
        <v>2035</v>
      </c>
      <c r="AV2" s="6">
        <f t="shared" si="2"/>
        <v>2036</v>
      </c>
    </row>
    <row r="3" spans="1:48" s="2" customFormat="1" x14ac:dyDescent="0.25">
      <c r="B3" s="2" t="s">
        <v>69</v>
      </c>
      <c r="AI3" s="2">
        <v>7247</v>
      </c>
      <c r="AJ3" s="2">
        <v>10117</v>
      </c>
    </row>
    <row r="4" spans="1:48" s="2" customFormat="1" x14ac:dyDescent="0.25">
      <c r="B4" s="2" t="s">
        <v>71</v>
      </c>
      <c r="AI4" s="2">
        <v>4609</v>
      </c>
      <c r="AJ4" s="2">
        <v>4493</v>
      </c>
    </row>
    <row r="5" spans="1:48" s="2" customFormat="1" x14ac:dyDescent="0.25">
      <c r="B5" s="2" t="s">
        <v>72</v>
      </c>
      <c r="AI5" s="2">
        <v>5670</v>
      </c>
      <c r="AJ5" s="2">
        <v>4010</v>
      </c>
    </row>
    <row r="6" spans="1:48" s="2" customFormat="1" x14ac:dyDescent="0.25">
      <c r="B6" s="2" t="s">
        <v>70</v>
      </c>
      <c r="AI6" s="2">
        <v>4006</v>
      </c>
      <c r="AJ6" s="2">
        <v>3818</v>
      </c>
    </row>
    <row r="7" spans="1:48" s="4" customFormat="1" x14ac:dyDescent="0.25">
      <c r="AI7" s="6"/>
      <c r="AJ7" s="6"/>
    </row>
    <row r="8" spans="1:48" s="2" customFormat="1" x14ac:dyDescent="0.25">
      <c r="B8" s="2" t="s">
        <v>62</v>
      </c>
      <c r="AI8" s="2">
        <v>11127</v>
      </c>
      <c r="AJ8" s="2">
        <v>8259</v>
      </c>
    </row>
    <row r="9" spans="1:48" s="2" customFormat="1" x14ac:dyDescent="0.25">
      <c r="B9" s="2" t="s">
        <v>66</v>
      </c>
      <c r="AI9" s="2">
        <v>5162</v>
      </c>
      <c r="AJ9" s="2">
        <v>6767</v>
      </c>
    </row>
    <row r="10" spans="1:48" s="2" customFormat="1" x14ac:dyDescent="0.25"/>
    <row r="11" spans="1:48" s="2" customFormat="1" x14ac:dyDescent="0.25">
      <c r="B11" s="2" t="s">
        <v>67</v>
      </c>
      <c r="AI11" s="2">
        <v>19698</v>
      </c>
      <c r="AJ11" s="2">
        <v>19911</v>
      </c>
    </row>
    <row r="12" spans="1:48" s="2" customFormat="1" x14ac:dyDescent="0.25">
      <c r="B12" s="2" t="s">
        <v>61</v>
      </c>
      <c r="AI12" s="2">
        <v>5732</v>
      </c>
      <c r="AJ12" s="2">
        <v>6225</v>
      </c>
    </row>
    <row r="13" spans="1:48" s="2" customFormat="1" x14ac:dyDescent="0.25">
      <c r="B13" s="2" t="s">
        <v>68</v>
      </c>
      <c r="AI13" s="2">
        <f>868+219</f>
        <v>1087</v>
      </c>
      <c r="AJ13" s="2">
        <f>885+155</f>
        <v>1040</v>
      </c>
    </row>
    <row r="14" spans="1:48" s="7" customFormat="1" ht="13" x14ac:dyDescent="0.3">
      <c r="B14" s="7" t="s">
        <v>7</v>
      </c>
      <c r="C14" s="7">
        <v>6707</v>
      </c>
      <c r="E14" s="7">
        <v>6778</v>
      </c>
      <c r="G14" s="7">
        <v>7166</v>
      </c>
      <c r="I14" s="7">
        <v>7302</v>
      </c>
      <c r="K14" s="7">
        <v>7012</v>
      </c>
      <c r="R14" s="7">
        <v>9167.0139999999992</v>
      </c>
      <c r="S14" s="7">
        <v>9734.8559999999998</v>
      </c>
      <c r="T14" s="7">
        <v>8129.24</v>
      </c>
      <c r="U14" s="7">
        <v>5014</v>
      </c>
      <c r="V14" s="7">
        <v>9549</v>
      </c>
      <c r="W14" s="7">
        <v>10517</v>
      </c>
      <c r="X14" s="7">
        <v>8719</v>
      </c>
      <c r="Y14" s="7">
        <v>7509</v>
      </c>
      <c r="Z14" s="7">
        <v>9072</v>
      </c>
      <c r="AA14" s="7">
        <v>9659</v>
      </c>
      <c r="AB14" s="7">
        <v>10825</v>
      </c>
      <c r="AC14" s="7">
        <v>14537</v>
      </c>
      <c r="AD14" s="7">
        <v>17253</v>
      </c>
      <c r="AE14" s="7">
        <v>14608</v>
      </c>
      <c r="AF14" s="7">
        <v>17202</v>
      </c>
      <c r="AG14" s="7">
        <v>23063</v>
      </c>
      <c r="AH14" s="7">
        <v>25785</v>
      </c>
      <c r="AI14" s="7">
        <f>SUM(AI11:AI13)</f>
        <v>26517</v>
      </c>
      <c r="AJ14" s="7">
        <f>SUM(AJ11:AJ13)</f>
        <v>27176</v>
      </c>
    </row>
    <row r="15" spans="1:48" s="2" customFormat="1" x14ac:dyDescent="0.25">
      <c r="B15" s="2" t="s">
        <v>8</v>
      </c>
      <c r="C15" s="2">
        <v>3503</v>
      </c>
      <c r="E15" s="2">
        <v>3573</v>
      </c>
      <c r="G15" s="2">
        <v>3670</v>
      </c>
      <c r="I15" s="2">
        <v>3740</v>
      </c>
      <c r="K15" s="2">
        <v>3577</v>
      </c>
      <c r="AE15" s="2">
        <v>8222</v>
      </c>
      <c r="AF15" s="2">
        <v>9510</v>
      </c>
      <c r="AG15" s="2">
        <v>12149</v>
      </c>
      <c r="AH15" s="2">
        <v>13792</v>
      </c>
      <c r="AI15" s="2">
        <v>14133</v>
      </c>
      <c r="AJ15" s="2">
        <v>14279</v>
      </c>
    </row>
    <row r="16" spans="1:48" s="2" customFormat="1" x14ac:dyDescent="0.25">
      <c r="B16" s="2" t="s">
        <v>9</v>
      </c>
      <c r="C16" s="2">
        <f>+C14-C15</f>
        <v>3204</v>
      </c>
      <c r="E16" s="2">
        <f>+E14-E15</f>
        <v>3205</v>
      </c>
      <c r="G16" s="2">
        <f>+G14-G15</f>
        <v>3496</v>
      </c>
      <c r="I16" s="2">
        <f>+I14-I15</f>
        <v>3562</v>
      </c>
      <c r="K16" s="2">
        <f>+K14-K15</f>
        <v>3435</v>
      </c>
      <c r="AE16" s="2">
        <f t="shared" ref="AE16:AJ16" si="3">+AE14-AE15</f>
        <v>6386</v>
      </c>
      <c r="AF16" s="2">
        <f t="shared" si="3"/>
        <v>7692</v>
      </c>
      <c r="AG16" s="2">
        <f t="shared" si="3"/>
        <v>10914</v>
      </c>
      <c r="AH16" s="2">
        <f t="shared" si="3"/>
        <v>11993</v>
      </c>
      <c r="AI16" s="2">
        <f t="shared" si="3"/>
        <v>12384</v>
      </c>
      <c r="AJ16" s="2">
        <f t="shared" si="3"/>
        <v>12897</v>
      </c>
    </row>
    <row r="17" spans="2:36" s="2" customFormat="1" x14ac:dyDescent="0.25">
      <c r="B17" s="2" t="s">
        <v>10</v>
      </c>
      <c r="C17" s="2">
        <v>754</v>
      </c>
      <c r="E17" s="2">
        <v>836</v>
      </c>
      <c r="G17" s="2">
        <v>859</v>
      </c>
      <c r="I17" s="2">
        <v>901</v>
      </c>
      <c r="K17" s="2">
        <v>928</v>
      </c>
      <c r="AE17" s="2">
        <v>2054</v>
      </c>
      <c r="AF17" s="2">
        <v>2234</v>
      </c>
      <c r="AG17" s="2">
        <v>2485</v>
      </c>
      <c r="AH17" s="2">
        <v>2771</v>
      </c>
      <c r="AI17" s="2">
        <v>3102</v>
      </c>
      <c r="AJ17" s="2">
        <v>3233</v>
      </c>
    </row>
    <row r="18" spans="2:36" s="2" customFormat="1" x14ac:dyDescent="0.25">
      <c r="B18" s="2" t="s">
        <v>11</v>
      </c>
      <c r="C18" s="2">
        <v>207</v>
      </c>
      <c r="E18" s="2">
        <v>205</v>
      </c>
      <c r="G18" s="2">
        <v>206</v>
      </c>
      <c r="I18" s="2">
        <v>224</v>
      </c>
      <c r="K18" s="2">
        <v>222</v>
      </c>
      <c r="AE18" s="2">
        <v>521</v>
      </c>
      <c r="AF18" s="2">
        <v>526</v>
      </c>
      <c r="AG18" s="2">
        <v>609</v>
      </c>
      <c r="AH18" s="2">
        <v>703</v>
      </c>
      <c r="AI18" s="2">
        <v>776</v>
      </c>
      <c r="AJ18" s="2">
        <v>836</v>
      </c>
    </row>
    <row r="19" spans="2:36" s="2" customFormat="1" x14ac:dyDescent="0.25">
      <c r="B19" s="2" t="s">
        <v>12</v>
      </c>
      <c r="C19" s="2">
        <v>276</v>
      </c>
      <c r="E19" s="2">
        <v>222</v>
      </c>
      <c r="G19" s="2">
        <v>256</v>
      </c>
      <c r="I19" s="2">
        <v>204</v>
      </c>
      <c r="K19" s="2">
        <v>189</v>
      </c>
      <c r="AE19" s="2">
        <v>461</v>
      </c>
      <c r="AF19" s="2">
        <v>567</v>
      </c>
      <c r="AG19" s="2">
        <v>620</v>
      </c>
      <c r="AH19" s="2">
        <v>735</v>
      </c>
      <c r="AI19" s="2">
        <v>852</v>
      </c>
      <c r="AJ19" s="2">
        <v>961</v>
      </c>
    </row>
    <row r="20" spans="2:36" x14ac:dyDescent="0.25">
      <c r="B20" s="2" t="s">
        <v>16</v>
      </c>
      <c r="C20" s="2">
        <f t="shared" ref="C20:F20" si="4">SUM(C17:C19)</f>
        <v>1237</v>
      </c>
      <c r="D20" s="2">
        <f t="shared" si="4"/>
        <v>0</v>
      </c>
      <c r="E20" s="2">
        <f>SUM(E17:E19)</f>
        <v>1263</v>
      </c>
      <c r="F20" s="2">
        <f t="shared" si="4"/>
        <v>0</v>
      </c>
      <c r="G20" s="2">
        <f>SUM(G17:G19)</f>
        <v>1321</v>
      </c>
      <c r="H20" s="2"/>
      <c r="I20" s="2">
        <f>SUM(I17:I19)</f>
        <v>1329</v>
      </c>
      <c r="J20" s="2">
        <f t="shared" ref="J20:K20" si="5">SUM(J17:J19)</f>
        <v>0</v>
      </c>
      <c r="K20" s="2">
        <f t="shared" si="5"/>
        <v>1339</v>
      </c>
      <c r="AE20" s="2">
        <f t="shared" ref="AE20:AG20" si="6">SUM(AE17:AE19)</f>
        <v>3036</v>
      </c>
      <c r="AF20" s="2">
        <f t="shared" si="6"/>
        <v>3327</v>
      </c>
      <c r="AG20" s="2">
        <f t="shared" si="6"/>
        <v>3714</v>
      </c>
      <c r="AH20" s="2">
        <f>SUM(AH17:AH19)</f>
        <v>4209</v>
      </c>
      <c r="AI20" s="2">
        <f>SUM(AI17:AI19)</f>
        <v>4730</v>
      </c>
      <c r="AJ20" s="2">
        <f>SUM(AJ17:AJ19)</f>
        <v>5030</v>
      </c>
    </row>
    <row r="21" spans="2:36" x14ac:dyDescent="0.25">
      <c r="B21" s="2" t="s">
        <v>17</v>
      </c>
      <c r="C21" s="2">
        <f t="shared" ref="C21:F21" si="7">C16-C20</f>
        <v>1967</v>
      </c>
      <c r="D21" s="2">
        <f t="shared" si="7"/>
        <v>0</v>
      </c>
      <c r="E21" s="2">
        <f>E16-E20</f>
        <v>1942</v>
      </c>
      <c r="F21" s="2">
        <f t="shared" si="7"/>
        <v>0</v>
      </c>
      <c r="G21" s="2">
        <f>G16-G20</f>
        <v>2175</v>
      </c>
      <c r="H21" s="2"/>
      <c r="I21" s="2">
        <f>I16-I20</f>
        <v>2233</v>
      </c>
      <c r="J21" s="2">
        <f t="shared" ref="J21:K21" si="8">J16-J20</f>
        <v>0</v>
      </c>
      <c r="K21" s="2">
        <f t="shared" si="8"/>
        <v>2096</v>
      </c>
      <c r="AE21" s="2">
        <f t="shared" ref="AE21:AG21" si="9">AE16-AE20</f>
        <v>3350</v>
      </c>
      <c r="AF21" s="2">
        <f t="shared" si="9"/>
        <v>4365</v>
      </c>
      <c r="AG21" s="2">
        <f t="shared" si="9"/>
        <v>7200</v>
      </c>
      <c r="AH21" s="2">
        <f>AH16-AH20</f>
        <v>7784</v>
      </c>
      <c r="AI21" s="2">
        <f>AI16-AI20</f>
        <v>7654</v>
      </c>
      <c r="AJ21" s="2">
        <f>AJ16-AJ20</f>
        <v>7867</v>
      </c>
    </row>
    <row r="22" spans="2:36" x14ac:dyDescent="0.25">
      <c r="B22" s="2" t="s">
        <v>18</v>
      </c>
      <c r="C22" s="2">
        <v>-59</v>
      </c>
      <c r="E22" s="2">
        <v>-63</v>
      </c>
      <c r="G22" s="2">
        <v>-64</v>
      </c>
      <c r="H22" s="2"/>
      <c r="I22" s="2">
        <v>66</v>
      </c>
      <c r="J22" s="2"/>
      <c r="K22" s="2">
        <v>-69</v>
      </c>
      <c r="AE22">
        <f>-237+156</f>
        <v>-81</v>
      </c>
      <c r="AF22">
        <f>-240+41</f>
        <v>-199</v>
      </c>
      <c r="AG22">
        <f>-236+118</f>
        <v>-118</v>
      </c>
      <c r="AH22" s="2">
        <f>-228+39</f>
        <v>-189</v>
      </c>
      <c r="AI22" s="2">
        <f>-238+300</f>
        <v>62</v>
      </c>
      <c r="AJ22" s="2">
        <f>-247+532</f>
        <v>285</v>
      </c>
    </row>
    <row r="23" spans="2:36" x14ac:dyDescent="0.25">
      <c r="B23" s="2" t="s">
        <v>19</v>
      </c>
      <c r="C23" s="2">
        <f t="shared" ref="C23:F23" si="10">+C21+C22</f>
        <v>1908</v>
      </c>
      <c r="D23" s="2">
        <f t="shared" si="10"/>
        <v>0</v>
      </c>
      <c r="E23" s="2">
        <f>+E21+E22</f>
        <v>1879</v>
      </c>
      <c r="F23" s="2">
        <f t="shared" si="10"/>
        <v>0</v>
      </c>
      <c r="G23" s="2">
        <f>+G21+G22</f>
        <v>2111</v>
      </c>
      <c r="H23" s="2"/>
      <c r="I23" s="2">
        <f>+I21+I22</f>
        <v>2299</v>
      </c>
      <c r="J23" s="2">
        <f t="shared" ref="J23:K23" si="11">+J21+J22</f>
        <v>0</v>
      </c>
      <c r="K23" s="2">
        <f t="shared" si="11"/>
        <v>2027</v>
      </c>
      <c r="AE23" s="2">
        <f t="shared" ref="AE23" si="12">+AE21+AE22</f>
        <v>3269</v>
      </c>
      <c r="AF23" s="2">
        <f t="shared" ref="AF23" si="13">+AF21+AF22</f>
        <v>4166</v>
      </c>
      <c r="AG23" s="2">
        <f t="shared" ref="AG23" si="14">+AG21+AG22</f>
        <v>7082</v>
      </c>
      <c r="AH23" s="2">
        <f t="shared" ref="AH23:AJ23" si="15">+AH21+AH22</f>
        <v>7595</v>
      </c>
      <c r="AI23" s="2">
        <f t="shared" si="15"/>
        <v>7716</v>
      </c>
      <c r="AJ23" s="2">
        <f t="shared" si="15"/>
        <v>8152</v>
      </c>
    </row>
    <row r="24" spans="2:36" s="2" customFormat="1" x14ac:dyDescent="0.25">
      <c r="B24" s="2" t="s">
        <v>20</v>
      </c>
      <c r="C24" s="2">
        <v>284</v>
      </c>
      <c r="E24" s="2">
        <v>255</v>
      </c>
      <c r="G24" s="2">
        <v>934</v>
      </c>
      <c r="I24" s="2">
        <v>784</v>
      </c>
      <c r="K24" s="2">
        <v>302</v>
      </c>
      <c r="AE24" s="2">
        <v>563</v>
      </c>
      <c r="AF24" s="2">
        <v>547</v>
      </c>
      <c r="AG24" s="2">
        <v>883</v>
      </c>
      <c r="AH24" s="2">
        <v>1074</v>
      </c>
      <c r="AI24" s="2">
        <v>860</v>
      </c>
      <c r="AJ24" s="2">
        <v>975</v>
      </c>
    </row>
    <row r="25" spans="2:36" x14ac:dyDescent="0.25">
      <c r="B25" s="2" t="s">
        <v>21</v>
      </c>
      <c r="C25" s="2">
        <f t="shared" ref="C25:F25" si="16">+C23-C24</f>
        <v>1624</v>
      </c>
      <c r="D25" s="2">
        <f t="shared" si="16"/>
        <v>0</v>
      </c>
      <c r="E25" s="2">
        <f>+E23-E24</f>
        <v>1624</v>
      </c>
      <c r="F25" s="2">
        <f t="shared" si="16"/>
        <v>0</v>
      </c>
      <c r="G25" s="2">
        <f>+G23-G24</f>
        <v>1177</v>
      </c>
      <c r="H25" s="2"/>
      <c r="I25" s="2">
        <f>+I23-I24</f>
        <v>1515</v>
      </c>
      <c r="J25" s="2">
        <f t="shared" ref="J25:K25" si="17">+J23-J24</f>
        <v>0</v>
      </c>
      <c r="K25" s="2">
        <f t="shared" si="17"/>
        <v>1725</v>
      </c>
      <c r="AE25" s="2">
        <f t="shared" ref="AE25" si="18">+AE23-AE24</f>
        <v>2706</v>
      </c>
      <c r="AF25" s="2">
        <f t="shared" ref="AF25" si="19">+AF23-AF24</f>
        <v>3619</v>
      </c>
      <c r="AG25" s="2">
        <f t="shared" ref="AG25" si="20">+AG23-AG24</f>
        <v>6199</v>
      </c>
      <c r="AH25" s="2">
        <f t="shared" ref="AH25:AJ25" si="21">+AH23-AH24</f>
        <v>6521</v>
      </c>
      <c r="AI25" s="2">
        <f t="shared" si="21"/>
        <v>6856</v>
      </c>
      <c r="AJ25" s="2">
        <f t="shared" si="21"/>
        <v>7177</v>
      </c>
    </row>
    <row r="26" spans="2:36" s="10" customFormat="1" ht="13" x14ac:dyDescent="0.3">
      <c r="B26" s="7" t="s">
        <v>22</v>
      </c>
      <c r="C26" s="9">
        <f>+C25/C27</f>
        <v>1.94026284348865</v>
      </c>
      <c r="D26" s="9" t="e">
        <f t="shared" ref="D26:G26" si="22">+D25/D27</f>
        <v>#DIV/0!</v>
      </c>
      <c r="E26" s="9">
        <f t="shared" ref="E26" si="23">+E25/E27</f>
        <v>1.9495798319327731</v>
      </c>
      <c r="F26" s="9" t="e">
        <f t="shared" si="22"/>
        <v>#DIV/0!</v>
      </c>
      <c r="G26" s="9">
        <f t="shared" si="22"/>
        <v>1.4371184371184371</v>
      </c>
      <c r="H26" s="9"/>
      <c r="I26" s="9">
        <f t="shared" ref="I26:K26" si="24">+I25/I27</f>
        <v>1.8890274314214464</v>
      </c>
      <c r="J26" s="9" t="e">
        <f t="shared" si="24"/>
        <v>#DIV/0!</v>
      </c>
      <c r="K26" s="9">
        <f t="shared" si="24"/>
        <v>2.1589486858573217</v>
      </c>
      <c r="AE26" s="9">
        <f t="shared" ref="AE26:AG26" si="25">+AE25/AE27</f>
        <v>2.8634920634920635</v>
      </c>
      <c r="AF26" s="9">
        <f t="shared" si="25"/>
        <v>3.9209100758396533</v>
      </c>
      <c r="AG26" s="9">
        <f t="shared" si="25"/>
        <v>6.7453754080522303</v>
      </c>
      <c r="AH26" s="9">
        <f>+AH25/AH27</f>
        <v>7.4355758266818697</v>
      </c>
      <c r="AI26" s="9">
        <f>+AI25/AI27</f>
        <v>8.1136094674556212</v>
      </c>
      <c r="AJ26" s="9">
        <f>+AJ25/AJ27</f>
        <v>8.6055155875299754</v>
      </c>
    </row>
    <row r="27" spans="2:36" x14ac:dyDescent="0.25">
      <c r="B27" s="2" t="s">
        <v>1</v>
      </c>
      <c r="C27" s="2">
        <v>837</v>
      </c>
      <c r="D27" s="2"/>
      <c r="E27" s="2">
        <v>833</v>
      </c>
      <c r="F27" s="2"/>
      <c r="G27" s="2">
        <v>819</v>
      </c>
      <c r="H27" s="2"/>
      <c r="I27" s="2">
        <v>802</v>
      </c>
      <c r="J27" s="2"/>
      <c r="K27" s="2">
        <v>799</v>
      </c>
      <c r="AE27">
        <v>945</v>
      </c>
      <c r="AF27">
        <v>923</v>
      </c>
      <c r="AG27">
        <v>919</v>
      </c>
      <c r="AH27">
        <v>877</v>
      </c>
      <c r="AI27">
        <v>845</v>
      </c>
      <c r="AJ27">
        <v>834</v>
      </c>
    </row>
    <row r="29" spans="2:36" s="10" customFormat="1" ht="13" x14ac:dyDescent="0.3">
      <c r="B29" s="10" t="s">
        <v>13</v>
      </c>
      <c r="G29" s="11">
        <f>+G14/C14-1</f>
        <v>6.8435962427314756E-2</v>
      </c>
      <c r="H29" s="11"/>
      <c r="I29" s="11">
        <f>+I14/E14-1</f>
        <v>7.730894069046923E-2</v>
      </c>
      <c r="J29" s="11" t="e">
        <f>+J14/F14-1</f>
        <v>#DIV/0!</v>
      </c>
      <c r="K29" s="11">
        <f>+K14/G14-1</f>
        <v>-2.1490371197320668E-2</v>
      </c>
      <c r="S29" s="11">
        <f t="shared" ref="S29:Z29" si="26">+S14/R14-1</f>
        <v>6.1944052883523559E-2</v>
      </c>
      <c r="T29" s="11">
        <f t="shared" si="26"/>
        <v>-0.16493474582469425</v>
      </c>
      <c r="U29" s="11">
        <f t="shared" si="26"/>
        <v>-0.38321417500282928</v>
      </c>
      <c r="V29" s="11">
        <f t="shared" si="26"/>
        <v>0.90446749102512958</v>
      </c>
      <c r="W29" s="11">
        <f t="shared" si="26"/>
        <v>0.10137187140014658</v>
      </c>
      <c r="X29" s="11">
        <f t="shared" si="26"/>
        <v>-0.17096130075116478</v>
      </c>
      <c r="Y29" s="11">
        <f t="shared" si="26"/>
        <v>-0.13877738272737694</v>
      </c>
      <c r="Z29" s="11">
        <f t="shared" si="26"/>
        <v>0.20815021973631631</v>
      </c>
      <c r="AA29" s="11">
        <f t="shared" ref="AA29:AE29" si="27">+AA14/Z14-1</f>
        <v>6.4704585537918913E-2</v>
      </c>
      <c r="AB29" s="11">
        <f t="shared" si="27"/>
        <v>0.12071643027228496</v>
      </c>
      <c r="AC29" s="11">
        <f t="shared" si="27"/>
        <v>0.34290993071593534</v>
      </c>
      <c r="AD29" s="11">
        <f t="shared" si="27"/>
        <v>0.18683359702827262</v>
      </c>
      <c r="AE29" s="11">
        <f t="shared" si="27"/>
        <v>-0.15330667130354136</v>
      </c>
      <c r="AF29" s="11">
        <f t="shared" ref="AF29:AH29" si="28">+AF14/AE14-1</f>
        <v>0.17757393209200445</v>
      </c>
      <c r="AG29" s="11">
        <f t="shared" si="28"/>
        <v>0.34071619579118706</v>
      </c>
      <c r="AH29" s="11">
        <f t="shared" si="28"/>
        <v>0.11802454147335562</v>
      </c>
      <c r="AI29" s="3">
        <f>+AI14/AH14-1</f>
        <v>2.8388598022105915E-2</v>
      </c>
      <c r="AJ29" s="3">
        <f>+AJ14/AI14-1</f>
        <v>2.4851981747558094E-2</v>
      </c>
    </row>
    <row r="30" spans="2:36" x14ac:dyDescent="0.25">
      <c r="B30" s="2" t="s">
        <v>60</v>
      </c>
      <c r="G30" s="3"/>
      <c r="H30" s="3"/>
      <c r="I30" s="3"/>
      <c r="J30" s="3"/>
      <c r="AJ30" s="3">
        <f>+AJ11/AI11-1</f>
        <v>1.0813280536094982E-2</v>
      </c>
    </row>
    <row r="31" spans="2:36" x14ac:dyDescent="0.25">
      <c r="B31" t="s">
        <v>14</v>
      </c>
      <c r="G31" s="3">
        <f>+G16/G14</f>
        <v>0.487859335752163</v>
      </c>
      <c r="H31" s="3"/>
      <c r="I31" s="3">
        <f>+I16/I14</f>
        <v>0.48781155847712954</v>
      </c>
      <c r="J31" s="3"/>
      <c r="K31" s="3"/>
      <c r="L31" s="3"/>
      <c r="M31" s="3"/>
      <c r="N31" s="3"/>
      <c r="O31" s="3"/>
      <c r="Z31" s="3">
        <f t="shared" ref="Z31:AD31" si="29">+Z16/Z14</f>
        <v>0</v>
      </c>
      <c r="AA31" s="3">
        <f t="shared" si="29"/>
        <v>0</v>
      </c>
      <c r="AB31" s="3">
        <f t="shared" si="29"/>
        <v>0</v>
      </c>
      <c r="AC31" s="3">
        <f t="shared" si="29"/>
        <v>0</v>
      </c>
      <c r="AD31" s="3">
        <f t="shared" si="29"/>
        <v>0</v>
      </c>
      <c r="AE31" s="3">
        <f t="shared" ref="AE31:AG31" si="30">+AE16/AE14</f>
        <v>0.43715772179627599</v>
      </c>
      <c r="AF31" s="3">
        <f t="shared" si="30"/>
        <v>0.44715730728985004</v>
      </c>
      <c r="AG31" s="3">
        <f t="shared" si="30"/>
        <v>0.47322551272601138</v>
      </c>
      <c r="AH31" s="3">
        <f>+AH16/AH14</f>
        <v>0.46511537715726198</v>
      </c>
      <c r="AI31" s="3">
        <f>+AI16/AI14</f>
        <v>0.46702115623939361</v>
      </c>
      <c r="AJ31" s="3">
        <f>+AJ16/AJ14</f>
        <v>0.47457315278186635</v>
      </c>
    </row>
    <row r="32" spans="2:36" x14ac:dyDescent="0.25">
      <c r="B32" t="s">
        <v>15</v>
      </c>
      <c r="G32" s="3">
        <f>+G21/G14</f>
        <v>0.30351660619592519</v>
      </c>
      <c r="H32" s="3"/>
      <c r="I32" s="3">
        <f>+I21/I14</f>
        <v>0.30580662832100797</v>
      </c>
      <c r="J32" s="3"/>
      <c r="K32" s="3"/>
      <c r="L32" s="3"/>
      <c r="M32" s="3"/>
      <c r="N32" s="3"/>
      <c r="O32" s="3"/>
      <c r="Z32" s="3">
        <f t="shared" ref="Z32:AD32" si="31">+Z21/Z14</f>
        <v>0</v>
      </c>
      <c r="AA32" s="3">
        <f t="shared" si="31"/>
        <v>0</v>
      </c>
      <c r="AB32" s="3">
        <f t="shared" si="31"/>
        <v>0</v>
      </c>
      <c r="AC32" s="3">
        <f t="shared" si="31"/>
        <v>0</v>
      </c>
      <c r="AD32" s="3">
        <f t="shared" si="31"/>
        <v>0</v>
      </c>
      <c r="AE32" s="3">
        <f t="shared" ref="AE32:AG32" si="32">+AE21/AE14</f>
        <v>0.22932639649507119</v>
      </c>
      <c r="AF32" s="3">
        <f t="shared" si="32"/>
        <v>0.25374956400418558</v>
      </c>
      <c r="AG32" s="3">
        <f t="shared" si="32"/>
        <v>0.3121883536400295</v>
      </c>
      <c r="AH32" s="3">
        <f>+AH21/AH14</f>
        <v>0.30188093853015319</v>
      </c>
      <c r="AI32" s="3">
        <f>+AI21/AI14</f>
        <v>0.28864502017573634</v>
      </c>
      <c r="AJ32" s="3">
        <f>+AJ21/AJ14</f>
        <v>0.28948336767736238</v>
      </c>
    </row>
    <row r="34" spans="2:11" x14ac:dyDescent="0.25">
      <c r="B34" t="s">
        <v>73</v>
      </c>
      <c r="F34" s="2">
        <f>+F35-F44</f>
        <v>12258</v>
      </c>
      <c r="G34" s="2">
        <f>+G35-G44</f>
        <v>4639</v>
      </c>
      <c r="H34" s="2">
        <f>+H35-H44</f>
        <v>0</v>
      </c>
      <c r="I34" s="2">
        <f>+I35-I44</f>
        <v>4885</v>
      </c>
      <c r="J34" s="2">
        <f>+J35-J44</f>
        <v>0</v>
      </c>
      <c r="K34" s="2">
        <f>+K35-K44</f>
        <v>6926</v>
      </c>
    </row>
    <row r="35" spans="2:11" s="2" customFormat="1" x14ac:dyDescent="0.25">
      <c r="B35" s="2" t="s">
        <v>3</v>
      </c>
      <c r="F35" s="2">
        <f>8022+1449+2787</f>
        <v>12258</v>
      </c>
      <c r="G35" s="2">
        <f>6264+1949+2686</f>
        <v>10899</v>
      </c>
      <c r="I35" s="2">
        <f>5384+1630+4133</f>
        <v>11147</v>
      </c>
      <c r="K35" s="2">
        <f>7218+1293+4968</f>
        <v>13479</v>
      </c>
    </row>
    <row r="36" spans="2:11" s="2" customFormat="1" x14ac:dyDescent="0.25">
      <c r="B36" s="2" t="s">
        <v>24</v>
      </c>
      <c r="F36" s="2">
        <v>5234</v>
      </c>
      <c r="G36" s="2">
        <v>5998</v>
      </c>
      <c r="I36" s="2">
        <v>5772</v>
      </c>
      <c r="K36" s="2">
        <v>4977</v>
      </c>
    </row>
    <row r="37" spans="2:11" s="2" customFormat="1" x14ac:dyDescent="0.25">
      <c r="B37" s="2" t="s">
        <v>25</v>
      </c>
      <c r="F37" s="2">
        <v>5421</v>
      </c>
      <c r="G37" s="2">
        <v>5501</v>
      </c>
      <c r="I37" s="2">
        <v>5807</v>
      </c>
      <c r="K37" s="2">
        <v>5997</v>
      </c>
    </row>
    <row r="38" spans="2:11" s="2" customFormat="1" x14ac:dyDescent="0.25">
      <c r="B38" s="2" t="s">
        <v>26</v>
      </c>
      <c r="F38" s="2">
        <v>1094</v>
      </c>
      <c r="G38" s="2">
        <v>982</v>
      </c>
      <c r="I38" s="2">
        <v>1125</v>
      </c>
      <c r="K38" s="2">
        <v>1564</v>
      </c>
    </row>
    <row r="39" spans="2:11" s="7" customFormat="1" ht="13" x14ac:dyDescent="0.3">
      <c r="B39" s="7" t="s">
        <v>23</v>
      </c>
      <c r="F39" s="7">
        <v>3563</v>
      </c>
      <c r="G39" s="7">
        <v>3563</v>
      </c>
      <c r="I39" s="7">
        <v>4124</v>
      </c>
      <c r="K39" s="7">
        <v>4949</v>
      </c>
    </row>
    <row r="40" spans="2:11" s="2" customFormat="1" x14ac:dyDescent="0.25">
      <c r="B40" s="2" t="s">
        <v>27</v>
      </c>
      <c r="F40" s="2">
        <f>3768+237</f>
        <v>4005</v>
      </c>
      <c r="G40" s="2">
        <f>3768+237</f>
        <v>4005</v>
      </c>
      <c r="I40" s="2">
        <f>3748+238</f>
        <v>3986</v>
      </c>
      <c r="K40" s="2">
        <f>3707+215</f>
        <v>3922</v>
      </c>
    </row>
    <row r="41" spans="2:11" s="2" customFormat="1" x14ac:dyDescent="0.25">
      <c r="B41" s="2" t="s">
        <v>28</v>
      </c>
      <c r="F41" s="2">
        <v>2390</v>
      </c>
      <c r="G41" s="2">
        <v>2390</v>
      </c>
      <c r="I41" s="2">
        <v>2250</v>
      </c>
      <c r="K41" s="2">
        <v>2756</v>
      </c>
    </row>
    <row r="42" spans="2:11" s="2" customFormat="1" x14ac:dyDescent="0.25">
      <c r="B42" s="2" t="s">
        <v>29</v>
      </c>
      <c r="F42" s="2">
        <f>SUM(F35:F41)</f>
        <v>33965</v>
      </c>
      <c r="G42" s="2">
        <f>SUM(G35:G41)</f>
        <v>33338</v>
      </c>
      <c r="H42" s="2">
        <f>SUM(H35:H41)</f>
        <v>0</v>
      </c>
      <c r="I42" s="2">
        <f>SUM(I35:I41)</f>
        <v>34211</v>
      </c>
      <c r="J42" s="2">
        <f>SUM(J35:J41)</f>
        <v>0</v>
      </c>
      <c r="K42" s="2">
        <f>SUM(K35:K41)</f>
        <v>37644</v>
      </c>
    </row>
    <row r="44" spans="2:11" s="2" customFormat="1" x14ac:dyDescent="0.25">
      <c r="B44" s="2" t="s">
        <v>4</v>
      </c>
      <c r="G44" s="2">
        <f>799+5461</f>
        <v>6260</v>
      </c>
      <c r="I44" s="2">
        <f>5463+799</f>
        <v>6262</v>
      </c>
      <c r="K44" s="2">
        <v>6553</v>
      </c>
    </row>
    <row r="45" spans="2:11" s="2" customFormat="1" x14ac:dyDescent="0.25">
      <c r="B45" s="2" t="s">
        <v>30</v>
      </c>
      <c r="G45" s="2">
        <v>4485</v>
      </c>
      <c r="I45" s="2">
        <v>4614</v>
      </c>
      <c r="K45" s="2">
        <v>5181</v>
      </c>
    </row>
    <row r="46" spans="2:11" s="2" customFormat="1" x14ac:dyDescent="0.25">
      <c r="B46" s="2" t="s">
        <v>31</v>
      </c>
      <c r="G46" s="2">
        <v>2452</v>
      </c>
      <c r="I46" s="2">
        <v>2470</v>
      </c>
      <c r="K46" s="2">
        <v>2472</v>
      </c>
    </row>
    <row r="47" spans="2:11" s="2" customFormat="1" x14ac:dyDescent="0.25">
      <c r="B47" s="2" t="s">
        <v>20</v>
      </c>
      <c r="G47" s="2">
        <v>684</v>
      </c>
      <c r="I47" s="2">
        <v>330</v>
      </c>
      <c r="K47" s="2">
        <v>507</v>
      </c>
    </row>
    <row r="48" spans="2:11" s="2" customFormat="1" x14ac:dyDescent="0.25">
      <c r="B48" s="2" t="s">
        <v>34</v>
      </c>
      <c r="G48" s="2">
        <v>832</v>
      </c>
      <c r="I48" s="2">
        <v>1031</v>
      </c>
      <c r="K48" s="2">
        <v>1214</v>
      </c>
    </row>
    <row r="49" spans="2:36" s="2" customFormat="1" x14ac:dyDescent="0.25">
      <c r="B49" s="2" t="s">
        <v>32</v>
      </c>
      <c r="G49" s="2">
        <v>18625</v>
      </c>
      <c r="I49" s="2">
        <v>19504</v>
      </c>
      <c r="K49" s="2">
        <v>21717</v>
      </c>
    </row>
    <row r="50" spans="2:36" s="2" customFormat="1" x14ac:dyDescent="0.25">
      <c r="B50" s="2" t="s">
        <v>33</v>
      </c>
      <c r="G50" s="2">
        <f>SUM(G44:G49)</f>
        <v>33338</v>
      </c>
      <c r="H50" s="2">
        <f>SUM(H44:H49)</f>
        <v>0</v>
      </c>
      <c r="I50" s="2">
        <f>SUM(I44:I49)</f>
        <v>34211</v>
      </c>
      <c r="J50" s="2">
        <f>SUM(J44:J49)</f>
        <v>0</v>
      </c>
      <c r="K50" s="2">
        <f>SUM(K44:K49)</f>
        <v>37644</v>
      </c>
    </row>
    <row r="52" spans="2:36" s="2" customFormat="1" x14ac:dyDescent="0.25">
      <c r="B52" s="2" t="s">
        <v>38</v>
      </c>
      <c r="G52" s="2">
        <f>+G25</f>
        <v>1177</v>
      </c>
      <c r="H52" s="2">
        <f>+H25</f>
        <v>0</v>
      </c>
      <c r="I52" s="2">
        <f>+I25</f>
        <v>1515</v>
      </c>
      <c r="J52" s="2">
        <f>+J25</f>
        <v>0</v>
      </c>
      <c r="K52" s="2">
        <f>+K25</f>
        <v>1725</v>
      </c>
      <c r="AB52" s="2">
        <f t="shared" ref="AB52:AD52" si="33">+AB25</f>
        <v>0</v>
      </c>
      <c r="AC52" s="2">
        <f t="shared" si="33"/>
        <v>0</v>
      </c>
      <c r="AD52" s="2">
        <f t="shared" si="33"/>
        <v>0</v>
      </c>
      <c r="AE52" s="2">
        <f t="shared" ref="AE52:AJ52" si="34">+AE25</f>
        <v>2706</v>
      </c>
      <c r="AF52" s="2">
        <f t="shared" si="34"/>
        <v>3619</v>
      </c>
      <c r="AG52" s="2">
        <f t="shared" si="34"/>
        <v>6199</v>
      </c>
      <c r="AH52" s="2">
        <f t="shared" si="34"/>
        <v>6521</v>
      </c>
      <c r="AI52" s="2">
        <f t="shared" si="34"/>
        <v>6856</v>
      </c>
      <c r="AJ52" s="2">
        <f t="shared" si="34"/>
        <v>7177</v>
      </c>
    </row>
    <row r="53" spans="2:36" s="2" customFormat="1" x14ac:dyDescent="0.25">
      <c r="B53" s="2" t="s">
        <v>37</v>
      </c>
      <c r="G53" s="2">
        <v>1185</v>
      </c>
      <c r="K53" s="2">
        <v>2026</v>
      </c>
      <c r="AH53" s="2">
        <v>6525</v>
      </c>
      <c r="AI53" s="2">
        <v>6856</v>
      </c>
      <c r="AJ53" s="2">
        <v>7177</v>
      </c>
    </row>
    <row r="54" spans="2:36" s="2" customFormat="1" x14ac:dyDescent="0.25">
      <c r="B54" s="2" t="s">
        <v>39</v>
      </c>
      <c r="G54" s="2">
        <v>105</v>
      </c>
      <c r="K54" s="2">
        <v>127</v>
      </c>
    </row>
    <row r="55" spans="2:36" s="2" customFormat="1" x14ac:dyDescent="0.25">
      <c r="B55" s="2" t="s">
        <v>40</v>
      </c>
      <c r="G55" s="2">
        <v>195</v>
      </c>
      <c r="K55" s="2">
        <v>207</v>
      </c>
    </row>
    <row r="56" spans="2:36" s="2" customFormat="1" x14ac:dyDescent="0.25">
      <c r="B56" s="2" t="s">
        <v>28</v>
      </c>
      <c r="G56" s="2">
        <v>668</v>
      </c>
      <c r="K56" s="2">
        <v>-78</v>
      </c>
    </row>
    <row r="57" spans="2:36" s="2" customFormat="1" x14ac:dyDescent="0.25">
      <c r="B57" s="2" t="s">
        <v>34</v>
      </c>
      <c r="G57" s="2">
        <v>95</v>
      </c>
      <c r="K57" s="2">
        <f>-1+12+253-466</f>
        <v>-202</v>
      </c>
    </row>
    <row r="58" spans="2:36" s="2" customFormat="1" x14ac:dyDescent="0.25">
      <c r="B58" s="2" t="s">
        <v>36</v>
      </c>
      <c r="G58" s="2">
        <f>-764-80+115-429-397+200+32</f>
        <v>-1323</v>
      </c>
      <c r="K58" s="2">
        <f>208-82-154-760-94+481+7</f>
        <v>-394</v>
      </c>
    </row>
    <row r="59" spans="2:36" s="2" customFormat="1" x14ac:dyDescent="0.25">
      <c r="B59" s="2" t="s">
        <v>35</v>
      </c>
      <c r="G59" s="2">
        <f>SUM(G53:G58)</f>
        <v>925</v>
      </c>
      <c r="K59" s="2">
        <f>SUM(K53:K58)</f>
        <v>1686</v>
      </c>
      <c r="R59" s="2">
        <v>1977.1179999999999</v>
      </c>
      <c r="S59" s="2">
        <v>2209.2959999999998</v>
      </c>
      <c r="T59" s="2">
        <v>1710.4680000000001</v>
      </c>
      <c r="U59" s="2">
        <v>332.66500000000002</v>
      </c>
      <c r="V59" s="2">
        <v>1722.8530000000001</v>
      </c>
      <c r="AB59" s="2">
        <v>2566</v>
      </c>
      <c r="AC59" s="2">
        <v>3789</v>
      </c>
      <c r="AD59" s="2">
        <v>3787</v>
      </c>
      <c r="AE59" s="2">
        <v>3247</v>
      </c>
      <c r="AF59" s="2">
        <v>3804</v>
      </c>
      <c r="AG59" s="2">
        <v>5442</v>
      </c>
      <c r="AH59" s="2">
        <v>5399</v>
      </c>
      <c r="AI59" s="2">
        <v>8700</v>
      </c>
      <c r="AJ59" s="2">
        <v>8677</v>
      </c>
    </row>
    <row r="60" spans="2:36" x14ac:dyDescent="0.25">
      <c r="AI60" s="2"/>
      <c r="AJ60" s="2"/>
    </row>
    <row r="61" spans="2:36" s="2" customFormat="1" ht="13" x14ac:dyDescent="0.3">
      <c r="B61" s="2" t="s">
        <v>42</v>
      </c>
      <c r="G61" s="7">
        <v>-381</v>
      </c>
      <c r="H61" s="7"/>
      <c r="I61" s="7"/>
      <c r="J61" s="7"/>
      <c r="K61" s="2">
        <v>-646</v>
      </c>
      <c r="R61" s="2">
        <v>-179.482</v>
      </c>
      <c r="S61" s="2">
        <v>-264.78399999999999</v>
      </c>
      <c r="T61" s="2">
        <v>-287.90600000000001</v>
      </c>
      <c r="U61" s="2">
        <v>-248.42699999999999</v>
      </c>
      <c r="V61" s="2">
        <v>-169.08099999999999</v>
      </c>
      <c r="AB61" s="2">
        <v>-253</v>
      </c>
      <c r="AC61" s="2">
        <v>-345</v>
      </c>
      <c r="AD61" s="2">
        <v>-622</v>
      </c>
      <c r="AE61" s="2">
        <v>-441</v>
      </c>
      <c r="AF61" s="2">
        <v>-422</v>
      </c>
      <c r="AG61" s="2">
        <v>-668</v>
      </c>
      <c r="AH61" s="2">
        <v>-787</v>
      </c>
      <c r="AI61" s="2">
        <v>-1106</v>
      </c>
      <c r="AJ61" s="2">
        <v>-1190</v>
      </c>
    </row>
    <row r="62" spans="2:36" x14ac:dyDescent="0.25">
      <c r="B62" s="2" t="s">
        <v>43</v>
      </c>
      <c r="G62">
        <v>-28</v>
      </c>
      <c r="K62">
        <v>0</v>
      </c>
    </row>
    <row r="63" spans="2:36" x14ac:dyDescent="0.25">
      <c r="B63" s="2" t="s">
        <v>44</v>
      </c>
      <c r="G63">
        <f>1223-1711</f>
        <v>-488</v>
      </c>
      <c r="K63">
        <f>1143-1277</f>
        <v>-134</v>
      </c>
    </row>
    <row r="64" spans="2:36" x14ac:dyDescent="0.25">
      <c r="B64" t="s">
        <v>41</v>
      </c>
      <c r="G64">
        <f>SUM(G61:G63)</f>
        <v>-897</v>
      </c>
      <c r="K64">
        <f>SUM(K61:K63)</f>
        <v>-780</v>
      </c>
    </row>
    <row r="66" spans="2:36" s="2" customFormat="1" x14ac:dyDescent="0.25">
      <c r="B66" s="2" t="s">
        <v>45</v>
      </c>
      <c r="G66" s="2">
        <v>-1318</v>
      </c>
      <c r="K66" s="2">
        <v>-337</v>
      </c>
    </row>
    <row r="67" spans="2:36" s="2" customFormat="1" x14ac:dyDescent="0.25">
      <c r="B67" s="2" t="s">
        <v>47</v>
      </c>
      <c r="G67" s="2">
        <v>-142</v>
      </c>
      <c r="K67" s="2">
        <v>-229</v>
      </c>
    </row>
    <row r="68" spans="2:36" s="2" customFormat="1" x14ac:dyDescent="0.25">
      <c r="B68" s="2" t="s">
        <v>48</v>
      </c>
      <c r="G68" s="2">
        <v>-326</v>
      </c>
      <c r="K68" s="2">
        <v>-365</v>
      </c>
    </row>
    <row r="69" spans="2:36" s="2" customFormat="1" x14ac:dyDescent="0.25">
      <c r="B69" s="2" t="s">
        <v>46</v>
      </c>
      <c r="G69" s="2">
        <f>SUM(G66:G68)</f>
        <v>-1786</v>
      </c>
      <c r="H69" s="2">
        <f t="shared" ref="H69:K69" si="35">SUM(H66:H68)</f>
        <v>0</v>
      </c>
      <c r="I69" s="2">
        <f t="shared" si="35"/>
        <v>0</v>
      </c>
      <c r="J69" s="2">
        <f t="shared" si="35"/>
        <v>0</v>
      </c>
      <c r="K69" s="2">
        <f t="shared" si="35"/>
        <v>-931</v>
      </c>
    </row>
    <row r="70" spans="2:36" s="2" customFormat="1" x14ac:dyDescent="0.25">
      <c r="B70" s="2" t="s">
        <v>85</v>
      </c>
      <c r="K70" s="2">
        <f>+K69+K64+K59</f>
        <v>-25</v>
      </c>
    </row>
    <row r="72" spans="2:36" x14ac:dyDescent="0.25">
      <c r="B72" s="2" t="s">
        <v>84</v>
      </c>
      <c r="K72" s="2">
        <f>+K59+K61</f>
        <v>1040</v>
      </c>
      <c r="R72" s="2">
        <f t="shared" ref="R72:V72" si="36">+R59+R61</f>
        <v>1797.636</v>
      </c>
      <c r="S72" s="2">
        <f t="shared" si="36"/>
        <v>1944.5119999999997</v>
      </c>
      <c r="T72" s="2">
        <f t="shared" si="36"/>
        <v>1422.5620000000001</v>
      </c>
      <c r="U72" s="2">
        <f t="shared" si="36"/>
        <v>84.238000000000028</v>
      </c>
      <c r="V72" s="2">
        <f t="shared" si="36"/>
        <v>1553.7720000000002</v>
      </c>
      <c r="AB72" s="2">
        <f t="shared" ref="AB72:AD72" si="37">+AB59+AB61</f>
        <v>2313</v>
      </c>
      <c r="AC72" s="2">
        <f t="shared" si="37"/>
        <v>3444</v>
      </c>
      <c r="AD72" s="2">
        <f t="shared" si="37"/>
        <v>3165</v>
      </c>
      <c r="AE72" s="2">
        <f t="shared" ref="AE72:AJ72" si="38">+AE59+AE61</f>
        <v>2806</v>
      </c>
      <c r="AF72" s="2">
        <f t="shared" si="38"/>
        <v>3382</v>
      </c>
      <c r="AG72" s="2">
        <f t="shared" si="38"/>
        <v>4774</v>
      </c>
      <c r="AH72" s="2">
        <f t="shared" si="38"/>
        <v>4612</v>
      </c>
      <c r="AI72" s="2">
        <f t="shared" si="38"/>
        <v>7594</v>
      </c>
      <c r="AJ72" s="2">
        <f t="shared" si="38"/>
        <v>7487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2025-04-15T16:57:53Z</dcterms:created>
  <dcterms:modified xsi:type="dcterms:W3CDTF">2026-03-21T03:16:40Z</dcterms:modified>
</cp:coreProperties>
</file>