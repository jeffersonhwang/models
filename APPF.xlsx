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Documents\GitHub\martinshkreli-models\"/>
    </mc:Choice>
  </mc:AlternateContent>
  <xr:revisionPtr revIDLastSave="0" documentId="13_ncr:1_{B29D68D1-AB44-4F16-86CE-F04ACF229A1F}" xr6:coauthVersionLast="47" xr6:coauthVersionMax="47" xr10:uidLastSave="{00000000-0000-0000-0000-000000000000}"/>
  <bookViews>
    <workbookView xWindow="14235" yWindow="90" windowWidth="26190" windowHeight="20805" activeTab="1" xr2:uid="{9D3513DD-3418-4219-8827-A91F6C35E82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2" l="1"/>
  <c r="I17" i="2"/>
  <c r="M15" i="2"/>
  <c r="I15" i="2"/>
  <c r="M13" i="2"/>
  <c r="I13" i="2"/>
  <c r="M12" i="2"/>
  <c r="I12" i="2"/>
  <c r="I7" i="2"/>
  <c r="M7" i="2"/>
  <c r="R21" i="2"/>
  <c r="S21" i="2"/>
  <c r="T21" i="2"/>
  <c r="U21" i="2"/>
  <c r="V21" i="2"/>
  <c r="W21" i="2"/>
  <c r="X21" i="2"/>
  <c r="Y21" i="2"/>
  <c r="Z21" i="2"/>
  <c r="AA21" i="2"/>
  <c r="Q21" i="2"/>
  <c r="M21" i="2"/>
  <c r="N21" i="2"/>
  <c r="L21" i="2"/>
  <c r="D24" i="2"/>
  <c r="E24" i="2" s="1"/>
  <c r="F24" i="2" s="1"/>
  <c r="G21" i="2"/>
  <c r="K21" i="2"/>
  <c r="D14" i="2"/>
  <c r="D12" i="2"/>
  <c r="D7" i="2"/>
  <c r="H21" i="2"/>
  <c r="J21" i="2"/>
  <c r="I21" i="2"/>
  <c r="F12" i="2"/>
  <c r="F7" i="2"/>
  <c r="E12" i="2"/>
  <c r="E7" i="2"/>
  <c r="E13" i="2" s="1"/>
  <c r="E15" i="2" s="1"/>
  <c r="E17" i="2" s="1"/>
  <c r="E18" i="2" s="1"/>
  <c r="D13" i="2" l="1"/>
  <c r="D15" i="2" s="1"/>
  <c r="D17" i="2" s="1"/>
  <c r="D18" i="2" s="1"/>
  <c r="F13" i="2"/>
  <c r="F15" i="2" s="1"/>
  <c r="F17" i="2" s="1"/>
  <c r="F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tc={8776E06D-3F74-4C5D-B909-5F514E8271F4}</author>
    <author>tc={5A58F8D1-7321-4C11-BE33-FD86458168C1}</author>
  </authors>
  <commentList>
    <comment ref="K5" authorId="0" shapeId="0" xr:uid="{8776E06D-3F74-4C5D-B909-5F514E8271F4}">
      <text>
        <t>[Threaded comment]
Your version of Excel allows you to read this threaded comment; however, any edits to it will get removed if the file is opened in a newer version of Excel. Learn more: https://go.microsoft.com/fwlink/?linkid=870924
Comment:
    Q424 guidance: 1355-1385
5/7/25 consensus 1380
5/7/25 Godel eps 1.44, BB 1.46</t>
      </text>
    </comment>
    <comment ref="L5" authorId="1" shapeId="0" xr:uid="{5A58F8D1-7321-4C11-BE33-FD86458168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5/7/25 consensus: 1400m, BB 1390m
</t>
      </text>
    </comment>
  </commentList>
</comments>
</file>

<file path=xl/sharedStrings.xml><?xml version="1.0" encoding="utf-8"?>
<sst xmlns="http://schemas.openxmlformats.org/spreadsheetml/2006/main" count="41" uniqueCount="40">
  <si>
    <t>Price</t>
  </si>
  <si>
    <t>Shares</t>
  </si>
  <si>
    <t>MC</t>
  </si>
  <si>
    <t>Cash</t>
  </si>
  <si>
    <t>Debt</t>
  </si>
  <si>
    <t>EV</t>
  </si>
  <si>
    <t>Q324</t>
  </si>
  <si>
    <t>Main</t>
  </si>
  <si>
    <t>Revenue</t>
  </si>
  <si>
    <t>Q123</t>
  </si>
  <si>
    <t>Q223</t>
  </si>
  <si>
    <t>Q323</t>
  </si>
  <si>
    <t>Q423</t>
  </si>
  <si>
    <t>Q124</t>
  </si>
  <si>
    <t>Q224</t>
  </si>
  <si>
    <t>Q424</t>
  </si>
  <si>
    <t>COGS</t>
  </si>
  <si>
    <t>Gross Profit</t>
  </si>
  <si>
    <t>S&amp;M</t>
  </si>
  <si>
    <t>R&amp;D</t>
  </si>
  <si>
    <t>G&amp;A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</si>
  <si>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</si>
  <si>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</si>
  <si>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</si>
  <si>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</si>
  <si>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</si>
  <si>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</si>
  <si>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</si>
  <si>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Q125</t>
  </si>
  <si>
    <t>Q225</t>
  </si>
  <si>
    <t>Q325</t>
  </si>
  <si>
    <t>Q425</t>
  </si>
  <si>
    <t>Revenue y/y</t>
  </si>
  <si>
    <t>Apps</t>
  </si>
  <si>
    <t>Ads</t>
  </si>
  <si>
    <t>CFFO</t>
  </si>
  <si>
    <t>CX</t>
  </si>
  <si>
    <t>FCF</t>
  </si>
  <si>
    <t>CFFO margin</t>
  </si>
  <si>
    <t>Depr + Amor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</si>
</sst>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0" fillId="0" borderId="0" xfId="0" applyNumberFormat="1"/>
    <xf numFmtId="9" fontId="1" fillId="0" borderId="0" xfId="2" applyFont="1"/>
  </cellXfs>
  <cellStyles count="3">
    <cellStyle name="Hyperlink" xfId="1" builtinId="8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3CD55AD6-C227-4952-B4BF-3BB29D3C47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30079</xdr:colOff>
      <xdr:row>0</xdr:row>
      <xdr:rowOff>43447</xdr:rowOff>
    </xdr:from>
    <xdr:to>
      <xdr:col>10</xdr:col>
      <xdr:colOff>30079</xdr:colOff>
      <xdr:row>35</xdr:row>
      <xdr:rowOff>3342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DD647D5-FB81-9CB8-CC54-A6CE301CFBF7}"/>
            </a:ext>
          </a:extLst>
        </xdr:cNvPr>
        <xdr:cNvCxnSpPr/>
      </xdr:nvCxnSpPr>
      <xdr:spPr>
        <a:xfrm>
          <a:off x="6784474" y="43447"/>
          <a:ext cx="0" cy="510005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36909</xdr:colOff>
      <xdr:row>0</xdr:row>
      <xdr:rowOff>0</xdr:rowOff>
    </xdr:from>
    <xdr:to>
      <xdr:col>26</xdr:col>
      <xdr:colOff>36909</xdr:colOff>
      <xdr:row>34</xdr:row>
      <xdr:rowOff>120025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2E1D8CB-02FD-493A-A829-5E8834BBD1EA}"/>
            </a:ext>
          </a:extLst>
        </xdr:cNvPr>
        <xdr:cNvCxnSpPr/>
      </xdr:nvCxnSpPr>
      <xdr:spPr>
        <a:xfrm>
          <a:off x="11638083" y="0"/>
          <a:ext cx="0" cy="54153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CDCF3CD3-C500-4AF0-9498-24228DD1F3D6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" dT="2025-05-07T17:42:44.05" personId="{CDCF3CD3-C500-4AF0-9498-24228DD1F3D6}" id="{8776E06D-3F74-4C5D-B909-5F514E8271F4}">
    <text>Q424 guidance: 1355-1385
5/7/25 consensus 1380
5/7/25 Godel eps 1.44, BB 1.46</text>
  </threadedComment>
  <threadedComment ref="L5" dT="2025-05-07T17:46:49.68" personId="{CDCF3CD3-C500-4AF0-9498-24228DD1F3D6}" id="{5A58F8D1-7321-4C11-BE33-FD86458168C1}">
    <text xml:space="preserve">5/7/25 consensus: 1400m, BB 1390m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B4EB-6472-46BD-A0D3-B5A7B85DE441}">
  <dimension ref="J2:L7"/>
  <sheetViews>
    <sheetView zoomScale="145" zoomScaleNormal="145" workbookViewId="0">
      <selection activeCell="L6" sqref="L6"/>
    </sheetView>
  </sheetViews>
  <sheetFormatPr defaultRowHeight="12.75" x14ac:dyDescent="0.2"/>
  <sheetData>
    <row r="2" spans="10:12" x14ac:dyDescent="0.2">
      <c r="J2" t="s">
        <v>0</v>
      </c>
      <c r="K2" s="1"/>
    </row>
    <row r="3" spans="10:12" x14ac:dyDescent="0.2">
      <c r="J3" t="s">
        <v>1</v>
      </c>
      <c r="K3" s="2"/>
      <c r="L3" s="3"/>
    </row>
    <row r="4" spans="10:12" x14ac:dyDescent="0.2">
      <c r="J4" t="s">
        <v>2</v>
      </c>
      <c r="K4" s="2"/>
    </row>
    <row r="5" spans="10:12" x14ac:dyDescent="0.2">
      <c r="J5" t="s">
        <v>3</v>
      </c>
      <c r="K5" s="2"/>
      <c r="L5" s="3"/>
    </row>
    <row r="6" spans="10:12" x14ac:dyDescent="0.2">
      <c r="J6" t="s">
        <v>4</v>
      </c>
      <c r="K6" s="2"/>
      <c r="L6" s="3"/>
    </row>
    <row r="7" spans="10:12" x14ac:dyDescent="0.2">
      <c r="J7" t="s">
        <v>5</v>
      </c>
      <c r="K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880E-57D9-4582-ABFA-84647DFD24DC}">
  <dimension ref="A1:AU31"/>
  <sheetViews>
    <sheetView tabSelected="1" zoomScale="130" zoomScaleNormal="13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W34" sqref="W34"/>
    </sheetView>
  </sheetViews>
  <sheetFormatPr defaultRowHeight="12.75" x14ac:dyDescent="0.2"/>
  <cols>
    <col min="1" max="1" width="5" bestFit="1" customWidth="1"/>
    <col min="2" max="2" width="18.140625" bestFit="1" customWidth="1"/>
    <col min="3" max="10" width="9.140625" style="3"/>
    <col min="28" max="28" width="9.28515625" customWidth="1"/>
    <col min="32" max="32" width="8.28515625" customWidth="1"/>
    <col min="36" max="36" width="10.140625" bestFit="1" customWidth="1"/>
    <col min="42" max="42" width="10.140625" bestFit="1" customWidth="1"/>
    <col min="47" max="47" width="11.5703125" bestFit="1" customWidth="1"/>
  </cols>
  <sheetData>
    <row r="1" spans="1:30" x14ac:dyDescent="0.2">
      <c r="A1" s="8" t="s">
        <v>7</v>
      </c>
    </row>
    <row r="2" spans="1:30" x14ac:dyDescent="0.2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6</v>
      </c>
      <c r="J2" s="3" t="s">
        <v>15</v>
      </c>
      <c r="K2" s="3" t="s">
        <v>28</v>
      </c>
      <c r="L2" s="3" t="s">
        <v>29</v>
      </c>
      <c r="M2" s="3" t="s">
        <v>30</v>
      </c>
      <c r="N2" s="3" t="s">
        <v>31</v>
      </c>
      <c r="O2" s="3"/>
      <c r="P2" s="3">
        <v>2014</v>
      </c>
      <c r="Q2" s="3">
        <v>2015</v>
      </c>
      <c r="R2" s="3">
        <v>2016</v>
      </c>
      <c r="S2" s="3">
        <v>2017</v>
      </c>
      <c r="T2">
        <v>2018</v>
      </c>
      <c r="U2">
        <v>2019</v>
      </c>
      <c r="V2">
        <v>2020</v>
      </c>
      <c r="W2">
        <v>2021</v>
      </c>
      <c r="X2">
        <v>2022</v>
      </c>
      <c r="Y2">
        <v>2023</v>
      </c>
      <c r="Z2">
        <v>2024</v>
      </c>
      <c r="AA2">
        <v>2025</v>
      </c>
      <c r="AB2">
        <v>2026</v>
      </c>
      <c r="AC2">
        <v>2027</v>
      </c>
      <c r="AD2">
        <v>2028</v>
      </c>
    </row>
    <row r="3" spans="1:30" s="2" customFormat="1" x14ac:dyDescent="0.2">
      <c r="B3" s="2" t="s">
        <v>34</v>
      </c>
      <c r="C3" s="5"/>
      <c r="D3" s="5"/>
      <c r="E3" s="5"/>
      <c r="F3" s="5">
        <v>576.48900000000003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30" s="2" customFormat="1" x14ac:dyDescent="0.2">
      <c r="B4" s="2" t="s">
        <v>33</v>
      </c>
      <c r="C4" s="5"/>
      <c r="D4" s="5"/>
      <c r="E4" s="5"/>
      <c r="F4" s="5">
        <v>376.77199999999999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30" s="6" customFormat="1" x14ac:dyDescent="0.2">
      <c r="B5" s="6" t="s">
        <v>8</v>
      </c>
      <c r="C5" s="7">
        <v>715.40499999999997</v>
      </c>
      <c r="D5" s="7">
        <v>750.16499999999996</v>
      </c>
      <c r="E5" s="7">
        <v>864.25599999999997</v>
      </c>
      <c r="F5" s="7">
        <v>953.26099999999997</v>
      </c>
      <c r="G5" s="7"/>
      <c r="H5" s="7"/>
      <c r="I5" s="7">
        <v>205.733</v>
      </c>
      <c r="J5" s="7"/>
      <c r="M5" s="6">
        <v>249.35300000000001</v>
      </c>
      <c r="P5" s="2">
        <v>47.670999999999999</v>
      </c>
      <c r="Q5" s="2">
        <v>74.977000000000004</v>
      </c>
      <c r="R5" s="2">
        <v>105.586</v>
      </c>
      <c r="S5" s="2">
        <v>143.803</v>
      </c>
      <c r="T5" s="2">
        <v>190.071</v>
      </c>
      <c r="U5" s="2">
        <v>256.012</v>
      </c>
      <c r="V5" s="2">
        <v>310.05599999999998</v>
      </c>
      <c r="W5" s="2">
        <v>359.37</v>
      </c>
      <c r="X5" s="2">
        <v>471.88299999999998</v>
      </c>
      <c r="Y5" s="2">
        <v>620.44500000000005</v>
      </c>
      <c r="Z5" s="2">
        <v>794.202</v>
      </c>
      <c r="AA5" s="2">
        <v>950.822</v>
      </c>
      <c r="AB5" s="2"/>
      <c r="AC5" s="2"/>
      <c r="AD5" s="2"/>
    </row>
    <row r="6" spans="1:30" s="2" customFormat="1" x14ac:dyDescent="0.2">
      <c r="B6" s="2" t="s">
        <v>16</v>
      </c>
      <c r="C6" s="5"/>
      <c r="D6" s="5">
        <v>258.57499999999999</v>
      </c>
      <c r="E6" s="5">
        <v>265.04899999999998</v>
      </c>
      <c r="F6" s="5">
        <v>273.60700000000003</v>
      </c>
      <c r="G6" s="5"/>
      <c r="H6" s="5"/>
      <c r="I6" s="5">
        <v>71.631</v>
      </c>
      <c r="J6" s="5"/>
      <c r="M6" s="2">
        <v>91.475999999999999</v>
      </c>
    </row>
    <row r="7" spans="1:30" s="2" customFormat="1" x14ac:dyDescent="0.2">
      <c r="B7" s="2" t="s">
        <v>17</v>
      </c>
      <c r="C7" s="5"/>
      <c r="D7" s="5">
        <f>+D5-D6</f>
        <v>491.59</v>
      </c>
      <c r="E7" s="5">
        <f>+E5-E6</f>
        <v>599.20699999999999</v>
      </c>
      <c r="F7" s="5">
        <f>+F5-F6</f>
        <v>679.654</v>
      </c>
      <c r="G7" s="5"/>
      <c r="H7" s="5"/>
      <c r="I7" s="2">
        <f>I5-I6</f>
        <v>134.102</v>
      </c>
      <c r="J7" s="5"/>
      <c r="M7" s="2">
        <f>M5-M6</f>
        <v>157.87700000000001</v>
      </c>
    </row>
    <row r="8" spans="1:30" s="2" customFormat="1" x14ac:dyDescent="0.2">
      <c r="B8" s="2" t="s">
        <v>18</v>
      </c>
      <c r="C8" s="5"/>
      <c r="D8" s="5">
        <v>192.42699999999999</v>
      </c>
      <c r="E8" s="5">
        <v>212.352</v>
      </c>
      <c r="F8" s="5">
        <v>222.96299999999999</v>
      </c>
      <c r="G8" s="5"/>
      <c r="H8" s="5"/>
      <c r="I8" s="5">
        <v>25.405999999999999</v>
      </c>
      <c r="J8" s="5"/>
      <c r="M8" s="2">
        <v>35.911999999999999</v>
      </c>
    </row>
    <row r="9" spans="1:30" s="2" customFormat="1" x14ac:dyDescent="0.2">
      <c r="B9" s="2" t="s">
        <v>19</v>
      </c>
      <c r="C9" s="5"/>
      <c r="D9" s="5">
        <v>137.42400000000001</v>
      </c>
      <c r="E9" s="5">
        <v>159.28800000000001</v>
      </c>
      <c r="F9" s="5">
        <v>150.82300000000001</v>
      </c>
      <c r="G9" s="5"/>
      <c r="H9" s="5"/>
      <c r="I9" s="5">
        <v>40.661999999999999</v>
      </c>
      <c r="J9" s="5"/>
      <c r="M9" s="2">
        <v>54.036999999999999</v>
      </c>
    </row>
    <row r="10" spans="1:30" s="2" customFormat="1" x14ac:dyDescent="0.2">
      <c r="B10" s="2" t="s">
        <v>20</v>
      </c>
      <c r="C10" s="5"/>
      <c r="D10" s="5">
        <v>30.411000000000001</v>
      </c>
      <c r="E10" s="5">
        <v>41.249000000000002</v>
      </c>
      <c r="F10" s="5">
        <v>36.353999999999999</v>
      </c>
      <c r="G10" s="5"/>
      <c r="H10" s="5"/>
      <c r="I10" s="5">
        <v>21.138999999999999</v>
      </c>
      <c r="J10" s="5"/>
      <c r="M10" s="2">
        <v>27.446000000000002</v>
      </c>
    </row>
    <row r="11" spans="1:30" s="2" customFormat="1" x14ac:dyDescent="0.2">
      <c r="B11" s="2" t="s">
        <v>39</v>
      </c>
      <c r="C11" s="5"/>
      <c r="D11" s="5"/>
      <c r="E11" s="5"/>
      <c r="F11" s="5"/>
      <c r="G11" s="5"/>
      <c r="H11" s="5"/>
      <c r="I11" s="5">
        <v>4.327</v>
      </c>
      <c r="J11" s="5"/>
      <c r="M11" s="2">
        <v>5.4359999999999999</v>
      </c>
    </row>
    <row r="12" spans="1:30" s="2" customFormat="1" x14ac:dyDescent="0.2">
      <c r="B12" s="2" t="s">
        <v>21</v>
      </c>
      <c r="C12" s="5"/>
      <c r="D12" s="5">
        <f>+D10+D9+D8</f>
        <v>360.262</v>
      </c>
      <c r="E12" s="5">
        <f>+E10+E9+E8</f>
        <v>412.88900000000001</v>
      </c>
      <c r="F12" s="5">
        <f>+F10+F9+F8</f>
        <v>410.14</v>
      </c>
      <c r="G12" s="5"/>
      <c r="H12" s="5"/>
      <c r="I12" s="5">
        <f>+I10+I9+I8</f>
        <v>87.206999999999994</v>
      </c>
      <c r="J12" s="5"/>
      <c r="M12" s="5">
        <f>+M10+M9+M8</f>
        <v>117.39500000000001</v>
      </c>
    </row>
    <row r="13" spans="1:30" s="2" customFormat="1" x14ac:dyDescent="0.2">
      <c r="B13" s="2" t="s">
        <v>22</v>
      </c>
      <c r="C13" s="5"/>
      <c r="D13" s="5">
        <f>+D7-D12</f>
        <v>131.32799999999997</v>
      </c>
      <c r="E13" s="5">
        <f>+E7-E12</f>
        <v>186.31799999999998</v>
      </c>
      <c r="F13" s="5">
        <f>+F7-F12</f>
        <v>269.51400000000001</v>
      </c>
      <c r="G13" s="5"/>
      <c r="H13" s="5"/>
      <c r="I13" s="5">
        <f>I7-I12-I11</f>
        <v>42.568000000000012</v>
      </c>
      <c r="J13" s="5"/>
      <c r="M13" s="5">
        <f>M7-M12-M11</f>
        <v>35.045999999999999</v>
      </c>
    </row>
    <row r="14" spans="1:30" s="2" customFormat="1" x14ac:dyDescent="0.2">
      <c r="B14" s="2" t="s">
        <v>23</v>
      </c>
      <c r="C14" s="5"/>
      <c r="D14" s="5">
        <f>-50.987+15.461</f>
        <v>-35.526000000000003</v>
      </c>
      <c r="E14" s="5">
        <v>-77.093000000000004</v>
      </c>
      <c r="F14" s="5">
        <v>-71.584000000000003</v>
      </c>
      <c r="G14" s="5"/>
      <c r="H14" s="5"/>
      <c r="I14" s="5">
        <v>4.0140000000000002</v>
      </c>
      <c r="J14" s="5"/>
      <c r="M14" s="2">
        <v>1.69</v>
      </c>
    </row>
    <row r="15" spans="1:30" s="2" customFormat="1" x14ac:dyDescent="0.2">
      <c r="B15" s="2" t="s">
        <v>24</v>
      </c>
      <c r="C15" s="5"/>
      <c r="D15" s="5">
        <f>+D13+D14</f>
        <v>95.801999999999964</v>
      </c>
      <c r="E15" s="5">
        <f>+E13+E14</f>
        <v>109.22499999999998</v>
      </c>
      <c r="F15" s="5">
        <f>+F13+F14</f>
        <v>197.93</v>
      </c>
      <c r="G15" s="5"/>
      <c r="H15" s="5"/>
      <c r="I15" s="5">
        <f>+I13+I14</f>
        <v>46.582000000000015</v>
      </c>
      <c r="J15" s="5"/>
      <c r="M15" s="5">
        <f>+M13+M14</f>
        <v>36.735999999999997</v>
      </c>
    </row>
    <row r="16" spans="1:30" s="2" customFormat="1" x14ac:dyDescent="0.2">
      <c r="B16" s="2" t="s">
        <v>25</v>
      </c>
      <c r="C16" s="5"/>
      <c r="D16" s="5">
        <v>15.445</v>
      </c>
      <c r="E16" s="5">
        <v>0.58599999999999997</v>
      </c>
      <c r="F16" s="5">
        <v>6.6630000000000003</v>
      </c>
      <c r="G16" s="5"/>
      <c r="H16" s="5"/>
      <c r="I16" s="5">
        <v>13.576000000000001</v>
      </c>
      <c r="J16" s="5"/>
      <c r="M16" s="2">
        <v>3.0859999999999999</v>
      </c>
    </row>
    <row r="17" spans="2:47" s="2" customFormat="1" x14ac:dyDescent="0.2">
      <c r="B17" s="2" t="s">
        <v>26</v>
      </c>
      <c r="C17" s="5"/>
      <c r="D17" s="5">
        <f>+D15-D16</f>
        <v>80.356999999999971</v>
      </c>
      <c r="E17" s="5">
        <f>+E15-E16</f>
        <v>108.63899999999998</v>
      </c>
      <c r="F17" s="5">
        <f>+F15-F16</f>
        <v>191.267</v>
      </c>
      <c r="G17" s="5"/>
      <c r="H17" s="5"/>
      <c r="I17" s="5">
        <f>+I15-I16</f>
        <v>33.006000000000014</v>
      </c>
      <c r="J17" s="5"/>
      <c r="M17" s="5">
        <f>+M15-M16</f>
        <v>33.65</v>
      </c>
    </row>
    <row r="18" spans="2:47" x14ac:dyDescent="0.2">
      <c r="B18" s="2" t="s">
        <v>27</v>
      </c>
      <c r="D18" s="4">
        <f>+D17/D19</f>
        <v>0.21935071157546074</v>
      </c>
      <c r="E18" s="4">
        <f>+E17/E19</f>
        <v>0.30439088282411614</v>
      </c>
      <c r="F18" s="4">
        <f>+F17/F19</f>
        <v>0.55042130466312889</v>
      </c>
      <c r="H18" s="4"/>
      <c r="I18" s="4"/>
      <c r="J18" s="4"/>
    </row>
    <row r="19" spans="2:47" s="2" customFormat="1" x14ac:dyDescent="0.2">
      <c r="B19" s="2" t="s">
        <v>1</v>
      </c>
      <c r="C19" s="5"/>
      <c r="D19" s="5">
        <v>366.34027500000002</v>
      </c>
      <c r="E19" s="5">
        <v>356.90622200000001</v>
      </c>
      <c r="F19" s="5">
        <v>347.49200000000002</v>
      </c>
      <c r="G19" s="5"/>
      <c r="H19" s="5"/>
      <c r="I19" s="5"/>
      <c r="J19" s="5"/>
    </row>
    <row r="21" spans="2:47" s="11" customFormat="1" x14ac:dyDescent="0.2">
      <c r="B21" s="6" t="s">
        <v>32</v>
      </c>
      <c r="C21" s="9"/>
      <c r="D21" s="9"/>
      <c r="E21" s="9"/>
      <c r="F21" s="9"/>
      <c r="G21" s="10">
        <f>+G5/C5-1</f>
        <v>-1</v>
      </c>
      <c r="H21" s="10">
        <f>+H5/D5-1</f>
        <v>-1</v>
      </c>
      <c r="I21" s="10">
        <f>+I5/E5-1</f>
        <v>-0.76195363410841233</v>
      </c>
      <c r="J21" s="10">
        <f>+J5/F5-1</f>
        <v>-1</v>
      </c>
      <c r="K21" s="10" t="e">
        <f>+K5/G5-1</f>
        <v>#DIV/0!</v>
      </c>
      <c r="L21" s="10" t="e">
        <f t="shared" ref="L21:N21" si="0">+L5/H5-1</f>
        <v>#DIV/0!</v>
      </c>
      <c r="M21" s="10">
        <f t="shared" si="0"/>
        <v>0.21202237851973194</v>
      </c>
      <c r="N21" s="10" t="e">
        <f t="shared" si="0"/>
        <v>#DIV/0!</v>
      </c>
      <c r="O21" s="10"/>
      <c r="P21" s="10"/>
      <c r="Q21" s="13">
        <f t="shared" ref="Q21:AA21" si="1">(Q5-P5)/P5</f>
        <v>0.57280107402823532</v>
      </c>
      <c r="R21" s="13">
        <f t="shared" si="1"/>
        <v>0.40824519519319247</v>
      </c>
      <c r="S21" s="13">
        <f t="shared" si="1"/>
        <v>0.36195139507131624</v>
      </c>
      <c r="T21" s="13">
        <f t="shared" si="1"/>
        <v>0.32174572157743581</v>
      </c>
      <c r="U21" s="13">
        <f t="shared" si="1"/>
        <v>0.3469282531264633</v>
      </c>
      <c r="V21" s="13">
        <f t="shared" si="1"/>
        <v>0.21109947971188844</v>
      </c>
      <c r="W21" s="13">
        <f t="shared" si="1"/>
        <v>0.15904868797894581</v>
      </c>
      <c r="X21" s="13">
        <f t="shared" si="1"/>
        <v>0.31308400812533038</v>
      </c>
      <c r="Y21" s="13">
        <f t="shared" si="1"/>
        <v>0.31482804000144121</v>
      </c>
      <c r="Z21" s="13">
        <f t="shared" si="1"/>
        <v>0.28005222058361329</v>
      </c>
      <c r="AA21" s="13">
        <f t="shared" si="1"/>
        <v>0.19720423771282369</v>
      </c>
    </row>
    <row r="24" spans="2:47" s="2" customFormat="1" x14ac:dyDescent="0.2">
      <c r="B24" s="2" t="s">
        <v>35</v>
      </c>
      <c r="C24" s="5">
        <v>288.66199999999998</v>
      </c>
      <c r="D24" s="5">
        <f>518.456-C24</f>
        <v>229.79400000000004</v>
      </c>
      <c r="E24" s="5">
        <f>717.522-D24-C24</f>
        <v>199.06600000000003</v>
      </c>
      <c r="F24" s="5">
        <f>1061.51-E24-D24-C24</f>
        <v>343.98799999999989</v>
      </c>
      <c r="G24" s="5"/>
      <c r="H24" s="5"/>
      <c r="I24" s="5"/>
      <c r="J24" s="5"/>
    </row>
    <row r="25" spans="2:47" s="2" customFormat="1" x14ac:dyDescent="0.2">
      <c r="B25" s="2" t="s">
        <v>36</v>
      </c>
      <c r="C25" s="5"/>
      <c r="D25" s="5"/>
      <c r="E25" s="5"/>
      <c r="F25" s="5"/>
      <c r="G25" s="5"/>
      <c r="H25" s="5"/>
      <c r="I25" s="5"/>
      <c r="J25" s="5"/>
    </row>
    <row r="26" spans="2:47" s="2" customFormat="1" x14ac:dyDescent="0.2">
      <c r="B26" s="2" t="s">
        <v>37</v>
      </c>
      <c r="C26" s="5"/>
      <c r="D26" s="5"/>
      <c r="E26" s="5"/>
      <c r="F26" s="5"/>
      <c r="G26" s="5"/>
      <c r="H26" s="5"/>
      <c r="I26" s="5"/>
      <c r="J26" s="5"/>
    </row>
    <row r="27" spans="2:47" x14ac:dyDescent="0.2">
      <c r="B27" s="2" t="s">
        <v>38</v>
      </c>
      <c r="Y27" s="12"/>
      <c r="Z27" s="12"/>
      <c r="AA27" s="12"/>
    </row>
    <row r="29" spans="2:47" x14ac:dyDescent="0.2">
      <c r="Z29" s="12"/>
      <c r="AA29" s="12"/>
    </row>
    <row r="30" spans="2:47" x14ac:dyDescent="0.2">
      <c r="AB30" s="1"/>
      <c r="AF30" s="1"/>
      <c r="AJ30" s="1"/>
      <c r="AP30" s="1"/>
      <c r="AU30" s="1"/>
    </row>
    <row r="31" spans="2:47" x14ac:dyDescent="0.2">
      <c r="AB31" s="1"/>
      <c r="AF31" s="1"/>
      <c r="AJ31" s="1"/>
      <c r="AP31" s="1"/>
      <c r="AU31" s="1"/>
    </row>
  </sheetData>
  <hyperlinks>
    <hyperlink ref="A1" location="Main!A1" display="Main" xr:uid="{00BC675E-771E-402D-B12F-64736781FF04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Jefferson Hwang</cp:lastModifiedBy>
  <dcterms:created xsi:type="dcterms:W3CDTF">2024-12-09T16:54:55Z</dcterms:created>
  <dcterms:modified xsi:type="dcterms:W3CDTF">2026-04-14T03:33:13Z</dcterms:modified>
</cp:coreProperties>
</file>