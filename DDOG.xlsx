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ffe\Documents\GitHub\martinshkreli-models\"/>
    </mc:Choice>
  </mc:AlternateContent>
  <xr:revisionPtr revIDLastSave="0" documentId="13_ncr:1_{B0F79D74-5E11-4A78-AC10-E46C91D089C8}" xr6:coauthVersionLast="47" xr6:coauthVersionMax="47" xr10:uidLastSave="{00000000-0000-0000-0000-000000000000}"/>
  <bookViews>
    <workbookView xWindow="2730" yWindow="75" windowWidth="26190" windowHeight="20805" activeTab="1" xr2:uid="{3FD86B5C-07F1-42A4-9D66-8FB9C4BAF175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H24" i="2" l="1"/>
  <c r="AG24" i="2"/>
  <c r="AF24" i="2"/>
  <c r="AE24" i="2"/>
  <c r="O5" i="1" l="1"/>
  <c r="AI20" i="2"/>
  <c r="X14" i="2"/>
  <c r="X8" i="2"/>
  <c r="X23" i="2" s="1"/>
  <c r="Y6" i="2"/>
  <c r="Y23" i="2" s="1"/>
  <c r="AB33" i="2"/>
  <c r="AJ2" i="2"/>
  <c r="AK2" i="2" s="1"/>
  <c r="AL2" i="2" s="1"/>
  <c r="AM2" i="2" s="1"/>
  <c r="AH21" i="2"/>
  <c r="AI21" i="2" s="1"/>
  <c r="AI19" i="2" s="1"/>
  <c r="AG21" i="2"/>
  <c r="AF21" i="2"/>
  <c r="AE21" i="2"/>
  <c r="X12" i="2"/>
  <c r="X13" i="2" s="1"/>
  <c r="X21" i="2"/>
  <c r="U21" i="2"/>
  <c r="U12" i="2"/>
  <c r="U8" i="2"/>
  <c r="U23" i="2" s="1"/>
  <c r="V21" i="2"/>
  <c r="V12" i="2"/>
  <c r="V8" i="2"/>
  <c r="V23" i="2" s="1"/>
  <c r="W21" i="2"/>
  <c r="W12" i="2"/>
  <c r="W8" i="2"/>
  <c r="W23" i="2" s="1"/>
  <c r="T21" i="2"/>
  <c r="M12" i="2"/>
  <c r="M8" i="2"/>
  <c r="M23" i="2" s="1"/>
  <c r="M14" i="2"/>
  <c r="Q14" i="2"/>
  <c r="Q21" i="2"/>
  <c r="Q12" i="2"/>
  <c r="Q8" i="2"/>
  <c r="Q23" i="2" s="1"/>
  <c r="N14" i="2"/>
  <c r="N12" i="2"/>
  <c r="N8" i="2"/>
  <c r="N23" i="2" s="1"/>
  <c r="R21" i="2"/>
  <c r="R14" i="2"/>
  <c r="R12" i="2"/>
  <c r="R8" i="2"/>
  <c r="R23" i="2" s="1"/>
  <c r="S39" i="2"/>
  <c r="S40" i="2"/>
  <c r="S29" i="2"/>
  <c r="S33" i="2"/>
  <c r="S27" i="2"/>
  <c r="S56" i="2"/>
  <c r="S57" i="2" s="1"/>
  <c r="T57" i="2" s="1"/>
  <c r="P23" i="2"/>
  <c r="P21" i="2"/>
  <c r="O21" i="2"/>
  <c r="O14" i="2"/>
  <c r="O12" i="2"/>
  <c r="O8" i="2"/>
  <c r="O23" i="2" s="1"/>
  <c r="S21" i="2"/>
  <c r="S14" i="2"/>
  <c r="S12" i="2"/>
  <c r="S8" i="2"/>
  <c r="S23" i="2" s="1"/>
  <c r="P14" i="2"/>
  <c r="P12" i="2"/>
  <c r="P8" i="2"/>
  <c r="T14" i="2"/>
  <c r="T12" i="2"/>
  <c r="T8" i="2"/>
  <c r="T23" i="2" s="1"/>
  <c r="T40" i="2"/>
  <c r="T39" i="2"/>
  <c r="T44" i="2" s="1"/>
  <c r="T29" i="2"/>
  <c r="T33" i="2"/>
  <c r="T27" i="2"/>
  <c r="K56" i="2"/>
  <c r="K57" i="2" s="1"/>
  <c r="K39" i="2"/>
  <c r="K40" i="2"/>
  <c r="K27" i="2"/>
  <c r="K29" i="2"/>
  <c r="K33" i="2"/>
  <c r="N21" i="2"/>
  <c r="M21" i="2"/>
  <c r="AF6" i="2"/>
  <c r="AE2" i="2"/>
  <c r="AF2" i="2" s="1"/>
  <c r="AG2" i="2" s="1"/>
  <c r="AH2" i="2" s="1"/>
  <c r="K21" i="2"/>
  <c r="J21" i="2"/>
  <c r="I21" i="2"/>
  <c r="L21" i="2"/>
  <c r="E12" i="2"/>
  <c r="E8" i="2"/>
  <c r="E23" i="2" s="1"/>
  <c r="I12" i="2"/>
  <c r="I8" i="2"/>
  <c r="I23" i="2" s="1"/>
  <c r="F12" i="2"/>
  <c r="F8" i="2"/>
  <c r="F23" i="2" s="1"/>
  <c r="J14" i="2"/>
  <c r="J12" i="2"/>
  <c r="J8" i="2"/>
  <c r="J23" i="2" s="1"/>
  <c r="G14" i="2"/>
  <c r="G12" i="2"/>
  <c r="G8" i="2"/>
  <c r="G23" i="2" s="1"/>
  <c r="K14" i="2"/>
  <c r="K12" i="2"/>
  <c r="K8" i="2"/>
  <c r="K23" i="2" s="1"/>
  <c r="Y21" i="2" l="1"/>
  <c r="S35" i="2"/>
  <c r="S44" i="2"/>
  <c r="W13" i="2"/>
  <c r="W15" i="2" s="1"/>
  <c r="W17" i="2" s="1"/>
  <c r="W18" i="2" s="1"/>
  <c r="N13" i="2"/>
  <c r="X15" i="2"/>
  <c r="X17" i="2" s="1"/>
  <c r="X18" i="2" s="1"/>
  <c r="AJ21" i="2"/>
  <c r="AK21" i="2" s="1"/>
  <c r="AL21" i="2" s="1"/>
  <c r="AM21" i="2" s="1"/>
  <c r="AN21" i="2" s="1"/>
  <c r="AO21" i="2" s="1"/>
  <c r="AP21" i="2" s="1"/>
  <c r="AQ21" i="2" s="1"/>
  <c r="AR21" i="2" s="1"/>
  <c r="AS21" i="2" s="1"/>
  <c r="AT21" i="2" s="1"/>
  <c r="AU21" i="2" s="1"/>
  <c r="AV21" i="2" s="1"/>
  <c r="AW21" i="2" s="1"/>
  <c r="AX21" i="2" s="1"/>
  <c r="AY21" i="2" s="1"/>
  <c r="AZ21" i="2" s="1"/>
  <c r="BA21" i="2" s="1"/>
  <c r="BB21" i="2" s="1"/>
  <c r="BC21" i="2" s="1"/>
  <c r="BD21" i="2" s="1"/>
  <c r="BE21" i="2" s="1"/>
  <c r="BF21" i="2" s="1"/>
  <c r="BG21" i="2" s="1"/>
  <c r="BH21" i="2" s="1"/>
  <c r="BI21" i="2" s="1"/>
  <c r="BJ21" i="2" s="1"/>
  <c r="BK21" i="2" s="1"/>
  <c r="BL21" i="2" s="1"/>
  <c r="BM21" i="2" s="1"/>
  <c r="BN21" i="2" s="1"/>
  <c r="BO21" i="2" s="1"/>
  <c r="BP21" i="2" s="1"/>
  <c r="BQ21" i="2" s="1"/>
  <c r="BR21" i="2" s="1"/>
  <c r="BS21" i="2" s="1"/>
  <c r="BT21" i="2" s="1"/>
  <c r="BU21" i="2" s="1"/>
  <c r="BV21" i="2" s="1"/>
  <c r="BW21" i="2" s="1"/>
  <c r="BX21" i="2" s="1"/>
  <c r="BY21" i="2" s="1"/>
  <c r="BZ21" i="2" s="1"/>
  <c r="CA21" i="2" s="1"/>
  <c r="CB21" i="2" s="1"/>
  <c r="CC21" i="2" s="1"/>
  <c r="CD21" i="2" s="1"/>
  <c r="CE21" i="2" s="1"/>
  <c r="CF21" i="2" s="1"/>
  <c r="CG21" i="2" s="1"/>
  <c r="CH21" i="2" s="1"/>
  <c r="CI21" i="2" s="1"/>
  <c r="CJ21" i="2" s="1"/>
  <c r="CK21" i="2" s="1"/>
  <c r="CL21" i="2" s="1"/>
  <c r="CM21" i="2" s="1"/>
  <c r="CN21" i="2" s="1"/>
  <c r="CO21" i="2" s="1"/>
  <c r="CP21" i="2" s="1"/>
  <c r="CQ21" i="2" s="1"/>
  <c r="CR21" i="2" s="1"/>
  <c r="CS21" i="2" s="1"/>
  <c r="CT21" i="2" s="1"/>
  <c r="CU21" i="2" s="1"/>
  <c r="CV21" i="2" s="1"/>
  <c r="CW21" i="2" s="1"/>
  <c r="CX21" i="2" s="1"/>
  <c r="CY21" i="2" s="1"/>
  <c r="CZ21" i="2" s="1"/>
  <c r="DA21" i="2" s="1"/>
  <c r="DB21" i="2" s="1"/>
  <c r="DC21" i="2" s="1"/>
  <c r="U13" i="2"/>
  <c r="U15" i="2" s="1"/>
  <c r="U17" i="2" s="1"/>
  <c r="U18" i="2" s="1"/>
  <c r="V13" i="2"/>
  <c r="V15" i="2" s="1"/>
  <c r="V17" i="2" s="1"/>
  <c r="V18" i="2" s="1"/>
  <c r="T13" i="2"/>
  <c r="T15" i="2" s="1"/>
  <c r="T17" i="2" s="1"/>
  <c r="M13" i="2"/>
  <c r="M15" i="2" s="1"/>
  <c r="M17" i="2" s="1"/>
  <c r="M18" i="2" s="1"/>
  <c r="T35" i="2"/>
  <c r="Q13" i="2"/>
  <c r="Q15" i="2" s="1"/>
  <c r="Q17" i="2" s="1"/>
  <c r="Q18" i="2" s="1"/>
  <c r="N15" i="2"/>
  <c r="N17" i="2" s="1"/>
  <c r="N18" i="2" s="1"/>
  <c r="R13" i="2"/>
  <c r="R15" i="2" s="1"/>
  <c r="R17" i="2" s="1"/>
  <c r="R18" i="2" s="1"/>
  <c r="O13" i="2"/>
  <c r="O15" i="2" s="1"/>
  <c r="O17" i="2" s="1"/>
  <c r="O18" i="2" s="1"/>
  <c r="S13" i="2"/>
  <c r="S15" i="2" s="1"/>
  <c r="S17" i="2" s="1"/>
  <c r="P13" i="2"/>
  <c r="P15" i="2" s="1"/>
  <c r="P17" i="2" s="1"/>
  <c r="P18" i="2" s="1"/>
  <c r="K35" i="2"/>
  <c r="K44" i="2"/>
  <c r="G13" i="2"/>
  <c r="G15" i="2" s="1"/>
  <c r="G17" i="2" s="1"/>
  <c r="G18" i="2" s="1"/>
  <c r="E13" i="2"/>
  <c r="E15" i="2" s="1"/>
  <c r="E17" i="2" s="1"/>
  <c r="E18" i="2" s="1"/>
  <c r="I13" i="2"/>
  <c r="I15" i="2" s="1"/>
  <c r="I17" i="2" s="1"/>
  <c r="I18" i="2" s="1"/>
  <c r="F13" i="2"/>
  <c r="F15" i="2" s="1"/>
  <c r="F17" i="2" s="1"/>
  <c r="F18" i="2" s="1"/>
  <c r="J13" i="2"/>
  <c r="J15" i="2" s="1"/>
  <c r="J17" i="2" s="1"/>
  <c r="J18" i="2" s="1"/>
  <c r="K13" i="2"/>
  <c r="K15" i="2" s="1"/>
  <c r="K17" i="2" s="1"/>
  <c r="AB32" i="2" l="1"/>
  <c r="AB34" i="2" s="1"/>
  <c r="AB35" i="2" s="1"/>
  <c r="S18" i="2"/>
  <c r="S46" i="2"/>
  <c r="T46" i="2"/>
  <c r="T18" i="2"/>
  <c r="K18" i="2"/>
  <c r="K46" i="2"/>
  <c r="O4" i="1"/>
  <c r="O7" i="1" s="1"/>
  <c r="L39" i="2"/>
  <c r="L40" i="2"/>
  <c r="L27" i="2"/>
  <c r="L29" i="2"/>
  <c r="L33" i="2"/>
  <c r="H14" i="2"/>
  <c r="L14" i="2"/>
  <c r="H12" i="2"/>
  <c r="L12" i="2"/>
  <c r="L8" i="2"/>
  <c r="L23" i="2" s="1"/>
  <c r="H8" i="2"/>
  <c r="H23" i="2" s="1"/>
  <c r="L13" i="2" l="1"/>
  <c r="L15" i="2" s="1"/>
  <c r="L17" i="2" s="1"/>
  <c r="L18" i="2" s="1"/>
  <c r="L35" i="2"/>
  <c r="L44" i="2"/>
  <c r="H13" i="2"/>
  <c r="H15" i="2" s="1"/>
  <c r="H17" i="2" s="1"/>
  <c r="H18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tc={B694AA91-5F28-404D-8B9F-89A2BFECAE55}</author>
    <author>tc={15E8E758-37B6-468B-81A6-B3305FD6827A}</author>
    <author>tc={95169845-1F7F-4051-990A-FE3D69449576}</author>
  </authors>
  <commentList>
    <comment ref="L6" authorId="0" shapeId="0" xr:uid="{B694AA91-5F28-404D-8B9F-89A2BFECAE55}">
      <text>
        <t>[Threaded comment]
Your version of Excel allows you to read this threaded comment; however, any edits to it will get removed if the file is opened in a newer version of Excel. Learn more: https://go.microsoft.com/fwlink/?linkid=870924
Comment:
    Q1: 376-380m</t>
      </text>
    </comment>
    <comment ref="M6" authorId="1" shapeId="0" xr:uid="{15E8E758-37B6-468B-81A6-B3305FD6827A}">
      <text>
        <t>[Threaded comment]
Your version of Excel allows you to read this threaded comment; however, any edits to it will get removed if the file is opened in a newer version of Excel. Learn more: https://go.microsoft.com/fwlink/?linkid=870924
Comment:
    Q2: 410-414m</t>
      </text>
    </comment>
    <comment ref="AF6" authorId="2" shapeId="0" xr:uid="{95169845-1F7F-4051-990A-FE3D69449576}">
      <text>
        <t>[Threaded comment]
Your version of Excel allows you to read this threaded comment; however, any edits to it will get removed if the file is opened in a newer version of Excel. Learn more: https://go.microsoft.com/fwlink/?linkid=870924
Comment:
    Q2: 1610-1630m
Reply:
    Q1: 1600-1620m</t>
      </text>
    </comment>
  </commentList>
</comments>
</file>

<file path=xl/sharedStrings.xml><?xml version="1.0" encoding="utf-8"?>
<sst xmlns="http://schemas.openxmlformats.org/spreadsheetml/2006/main" count="91" uniqueCount="80">
  <si>
    <t>Price</t>
  </si>
  <si>
    <t>Shares</t>
  </si>
  <si>
    <t>MC</t>
  </si>
  <si>
    <t>Cash</t>
  </si>
  <si>
    <t>Debt</t>
  </si>
  <si>
    <t>EV</t>
  </si>
  <si>
    <t>Main</t>
  </si>
  <si>
    <t>Revenue</t>
  </si>
  <si>
    <t>Q120</t>
  </si>
  <si>
    <t>Q220</t>
  </si>
  <si>
    <t>Q320</t>
  </si>
  <si>
    <t>Q420</t>
  </si>
  <si>
    <t>Q121</t>
  </si>
  <si>
    <t>Q221</t>
  </si>
  <si>
    <t>Q321</t>
  </si>
  <si>
    <t>Q421</t>
  </si>
  <si>
    <t>Q122</t>
  </si>
  <si>
    <t>Q222</t>
  </si>
  <si>
    <t>Q322</t>
  </si>
  <si>
    <t>Q422</t>
  </si>
  <si>
    <t>COGS</t>
  </si>
  <si>
    <t>Gross Profit</t>
  </si>
  <si>
    <t>R&amp;D</t>
  </si>
  <si>
    <t>S&amp;M</t>
  </si>
  <si>
    <t>G&amp;A</t>
  </si>
  <si>
    <t>OpEx</t>
  </si>
  <si>
    <t>OpInc</t>
  </si>
  <si>
    <t>Interest</t>
  </si>
  <si>
    <t>Pretax</t>
  </si>
  <si>
    <t>Net Income</t>
  </si>
  <si>
    <t>EPS</t>
  </si>
  <si>
    <t>Taxes</t>
  </si>
  <si>
    <t>Assets</t>
  </si>
  <si>
    <t>AR</t>
  </si>
  <si>
    <t>Deferred Contract</t>
  </si>
  <si>
    <t>Prepaids</t>
  </si>
  <si>
    <t>PP&amp;E</t>
  </si>
  <si>
    <t>Lease</t>
  </si>
  <si>
    <t>Goodwill</t>
  </si>
  <si>
    <t>Other</t>
  </si>
  <si>
    <t>AP</t>
  </si>
  <si>
    <t>AE</t>
  </si>
  <si>
    <t>DR</t>
  </si>
  <si>
    <t>SE</t>
  </si>
  <si>
    <t>L+SE</t>
  </si>
  <si>
    <t>Revenue y/y</t>
  </si>
  <si>
    <t>Gross Margin</t>
  </si>
  <si>
    <t>100k</t>
  </si>
  <si>
    <t>Model NI</t>
  </si>
  <si>
    <t>Reported NI</t>
  </si>
  <si>
    <t>D&amp;A</t>
  </si>
  <si>
    <t>Discounts</t>
  </si>
  <si>
    <t>Issuance</t>
  </si>
  <si>
    <t>D/Contracts</t>
  </si>
  <si>
    <t>SBC</t>
  </si>
  <si>
    <t>Loss on PP&amp;E</t>
  </si>
  <si>
    <t>WC</t>
  </si>
  <si>
    <t>CFFO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</si>
  <si>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</si>
  <si>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</si>
  <si>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</si>
  <si>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</si>
  <si>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</si>
  <si>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</si>
  <si>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</si>
  <si>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</si>
  <si>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</si>
  <si>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</si>
  <si>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</si>
  <si>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</si>
  <si>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Growth Rate</t>
  </si>
  <si>
    <t>Discount Rate</t>
  </si>
  <si>
    <t>Terminal Rate</t>
  </si>
  <si>
    <t>NPV</t>
  </si>
  <si>
    <t>Share Price</t>
  </si>
  <si>
    <t>Delta</t>
  </si>
  <si>
    <t>FCF</t>
  </si>
  <si>
    <t>FCF Growth %</t>
  </si>
  <si>
    <t>DCF using FCF</t>
  </si>
  <si>
    <t>Revenue -&gt; FCF Conversion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</si>
</sst>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(&quot;$&quot;* #,##0.00_);_(&quot;$&quot;* \(#,##0.00\);_(&quot;$&quot;* &quot;-&quot;??_);_(@_)"/>
  </numFmts>
  <fonts count="4" x14ac:knownFonts="1">
    <font>
      <sz val="10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18">
    <xf numFmtId="0" fontId="0" fillId="0" borderId="0" xfId="0"/>
    <xf numFmtId="4" fontId="0" fillId="0" borderId="0" xfId="0" applyNumberFormat="1"/>
    <xf numFmtId="0" fontId="0" fillId="0" borderId="0" xfId="0" applyAlignment="1">
      <alignment horizontal="right"/>
    </xf>
    <xf numFmtId="3" fontId="1" fillId="0" borderId="0" xfId="0" applyNumberFormat="1" applyFont="1"/>
    <xf numFmtId="3" fontId="1" fillId="0" borderId="0" xfId="0" applyNumberFormat="1" applyFont="1" applyAlignment="1">
      <alignment horizontal="right"/>
    </xf>
    <xf numFmtId="3" fontId="0" fillId="0" borderId="0" xfId="0" applyNumberFormat="1"/>
    <xf numFmtId="3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0" fontId="2" fillId="0" borderId="0" xfId="1"/>
    <xf numFmtId="0" fontId="1" fillId="0" borderId="0" xfId="0" applyFont="1" applyAlignment="1">
      <alignment horizontal="right"/>
    </xf>
    <xf numFmtId="9" fontId="1" fillId="0" borderId="0" xfId="0" applyNumberFormat="1" applyFont="1" applyAlignment="1">
      <alignment horizontal="right"/>
    </xf>
    <xf numFmtId="0" fontId="1" fillId="0" borderId="0" xfId="0" applyFont="1"/>
    <xf numFmtId="9" fontId="0" fillId="0" borderId="0" xfId="0" applyNumberFormat="1" applyAlignment="1">
      <alignment horizontal="right"/>
    </xf>
    <xf numFmtId="9" fontId="0" fillId="0" borderId="0" xfId="3" applyFont="1"/>
    <xf numFmtId="44" fontId="0" fillId="0" borderId="0" xfId="2" applyFont="1"/>
    <xf numFmtId="9" fontId="1" fillId="0" borderId="0" xfId="3" applyFont="1"/>
    <xf numFmtId="10" fontId="0" fillId="0" borderId="0" xfId="3" applyNumberFormat="1" applyFont="1"/>
    <xf numFmtId="3" fontId="0" fillId="0" borderId="0" xfId="0" applyNumberFormat="1" applyAlignment="1">
      <alignment horizontal="left"/>
    </xf>
  </cellXfs>
  <cellStyles count="4">
    <cellStyle name="Currency" xfId="2" builtinId="4"/>
    <cellStyle name="Hyperlink" xfId="1" builtinId="8"/>
    <cellStyle name="Normal" xfId="0" builtinId="0"/>
    <cellStyle name="Percent" xfId="3" builtinId="5"/>
  </cellStyles>
  <dxfs count="0"/>
  <tableStyles count="1" defaultTableStyle="TableStyleMedium2" defaultPivotStyle="PivotStyleLight16">
    <tableStyle name="Invisible" pivot="0" table="0" count="0" xr9:uid="{BB67D2C7-AFA5-4152-9AAB-B3E3F75CF99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40297</xdr:colOff>
      <xdr:row>0</xdr:row>
      <xdr:rowOff>0</xdr:rowOff>
    </xdr:from>
    <xdr:to>
      <xdr:col>23</xdr:col>
      <xdr:colOff>40297</xdr:colOff>
      <xdr:row>59</xdr:row>
      <xdr:rowOff>151668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7DDFA4D5-0B38-8039-23CD-D7314E60DE78}"/>
            </a:ext>
          </a:extLst>
        </xdr:cNvPr>
        <xdr:cNvCxnSpPr/>
      </xdr:nvCxnSpPr>
      <xdr:spPr>
        <a:xfrm>
          <a:off x="14327797" y="0"/>
          <a:ext cx="0" cy="917843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rtin Shkreli" id="{6EBEE36F-B86D-4667-B671-D0667117F4FF}" userId="9ffda80931a57275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6" dT="2022-09-02T15:00:42.62" personId="{6EBEE36F-B86D-4667-B671-D0667117F4FF}" id="{B694AA91-5F28-404D-8B9F-89A2BFECAE55}">
    <text>Q1: 376-380m</text>
  </threadedComment>
  <threadedComment ref="M6" dT="2022-09-02T14:59:12.36" personId="{6EBEE36F-B86D-4667-B671-D0667117F4FF}" id="{15E8E758-37B6-468B-81A6-B3305FD6827A}">
    <text>Q2: 410-414m</text>
  </threadedComment>
  <threadedComment ref="AF6" dT="2022-09-02T14:59:40.61" personId="{6EBEE36F-B86D-4667-B671-D0667117F4FF}" id="{95169845-1F7F-4051-990A-FE3D69449576}">
    <text>Q2: 1610-1630m</text>
  </threadedComment>
  <threadedComment ref="AF6" dT="2022-09-02T15:01:04.51" personId="{6EBEE36F-B86D-4667-B671-D0667117F4FF}" id="{618BFB8A-809A-468A-BF3E-6286A5CBAEB3}" parentId="{95169845-1F7F-4051-990A-FE3D69449576}">
    <text>Q1: 1600-1620m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BD0B1-E685-4627-8A01-75A3D2BDF860}">
  <dimension ref="N2:P7"/>
  <sheetViews>
    <sheetView topLeftCell="C1" zoomScale="160" zoomScaleNormal="160" workbookViewId="0">
      <selection activeCell="O3" sqref="O3"/>
    </sheetView>
  </sheetViews>
  <sheetFormatPr defaultRowHeight="12.75" x14ac:dyDescent="0.2"/>
  <sheetData>
    <row r="2" spans="14:16" x14ac:dyDescent="0.2">
      <c r="N2" t="s">
        <v>0</v>
      </c>
      <c r="O2" s="1">
        <v>157.75</v>
      </c>
    </row>
    <row r="3" spans="14:16" x14ac:dyDescent="0.2">
      <c r="N3" t="s">
        <v>1</v>
      </c>
      <c r="O3" s="5">
        <v>358</v>
      </c>
      <c r="P3" s="2" t="s">
        <v>67</v>
      </c>
    </row>
    <row r="4" spans="14:16" x14ac:dyDescent="0.2">
      <c r="N4" t="s">
        <v>2</v>
      </c>
      <c r="O4" s="5">
        <f>+O2*O3</f>
        <v>56474.5</v>
      </c>
    </row>
    <row r="5" spans="14:16" x14ac:dyDescent="0.2">
      <c r="N5" t="s">
        <v>3</v>
      </c>
      <c r="O5" s="5">
        <f>489+3421</f>
        <v>3910</v>
      </c>
      <c r="P5" s="2" t="s">
        <v>67</v>
      </c>
    </row>
    <row r="6" spans="14:16" x14ac:dyDescent="0.2">
      <c r="N6" t="s">
        <v>4</v>
      </c>
      <c r="O6" s="5">
        <v>2627</v>
      </c>
      <c r="P6" s="2" t="s">
        <v>67</v>
      </c>
    </row>
    <row r="7" spans="14:16" x14ac:dyDescent="0.2">
      <c r="N7" t="s">
        <v>5</v>
      </c>
      <c r="O7" s="5">
        <f>+O4-O5+O6</f>
        <v>55191.5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5D0F6-F818-4D6B-9D91-E5CB5E0CBE0F}">
  <dimension ref="A1:DC57"/>
  <sheetViews>
    <sheetView tabSelected="1" zoomScale="130" zoomScaleNormal="130" workbookViewId="0">
      <pane xSplit="2" ySplit="2" topLeftCell="T9" activePane="bottomRight" state="frozen"/>
      <selection pane="topRight" activeCell="C1" sqref="C1"/>
      <selection pane="bottomLeft" activeCell="A3" sqref="A3"/>
      <selection pane="bottomRight" activeCell="AH24" sqref="AH24"/>
    </sheetView>
  </sheetViews>
  <sheetFormatPr defaultRowHeight="12.75" x14ac:dyDescent="0.2"/>
  <cols>
    <col min="1" max="1" width="5" bestFit="1" customWidth="1"/>
    <col min="2" max="2" width="17.7109375" customWidth="1"/>
    <col min="3" max="26" width="9.140625" style="2"/>
    <col min="27" max="27" width="14.42578125" style="2" customWidth="1"/>
    <col min="28" max="28" width="11.28515625" bestFit="1" customWidth="1"/>
  </cols>
  <sheetData>
    <row r="1" spans="1:40" x14ac:dyDescent="0.2">
      <c r="A1" s="8" t="s">
        <v>6</v>
      </c>
    </row>
    <row r="2" spans="1:40" x14ac:dyDescent="0.2">
      <c r="C2" s="2" t="s">
        <v>8</v>
      </c>
      <c r="D2" s="2" t="s">
        <v>9</v>
      </c>
      <c r="E2" s="2" t="s">
        <v>10</v>
      </c>
      <c r="F2" s="2" t="s">
        <v>11</v>
      </c>
      <c r="G2" s="2" t="s">
        <v>12</v>
      </c>
      <c r="H2" s="2" t="s">
        <v>13</v>
      </c>
      <c r="I2" s="2" t="s">
        <v>14</v>
      </c>
      <c r="J2" s="2" t="s">
        <v>15</v>
      </c>
      <c r="K2" s="2" t="s">
        <v>16</v>
      </c>
      <c r="L2" s="2" t="s">
        <v>17</v>
      </c>
      <c r="M2" s="2" t="s">
        <v>18</v>
      </c>
      <c r="N2" s="2" t="s">
        <v>19</v>
      </c>
      <c r="O2" s="2" t="s">
        <v>58</v>
      </c>
      <c r="P2" s="2" t="s">
        <v>59</v>
      </c>
      <c r="Q2" s="2" t="s">
        <v>60</v>
      </c>
      <c r="R2" s="2" t="s">
        <v>61</v>
      </c>
      <c r="S2" s="2" t="s">
        <v>62</v>
      </c>
      <c r="T2" s="2" t="s">
        <v>63</v>
      </c>
      <c r="U2" s="2" t="s">
        <v>64</v>
      </c>
      <c r="V2" s="2" t="s">
        <v>65</v>
      </c>
      <c r="W2" s="2" t="s">
        <v>66</v>
      </c>
      <c r="X2" s="2" t="s">
        <v>67</v>
      </c>
      <c r="Y2" s="2" t="s">
        <v>68</v>
      </c>
      <c r="Z2" s="2" t="s">
        <v>69</v>
      </c>
      <c r="AD2">
        <v>2020</v>
      </c>
      <c r="AE2">
        <f>+AD2+1</f>
        <v>2021</v>
      </c>
      <c r="AF2">
        <f t="shared" ref="AF2:AH2" si="0">+AE2+1</f>
        <v>2022</v>
      </c>
      <c r="AG2">
        <f t="shared" si="0"/>
        <v>2023</v>
      </c>
      <c r="AH2">
        <f t="shared" si="0"/>
        <v>2024</v>
      </c>
      <c r="AI2">
        <v>2025</v>
      </c>
      <c r="AJ2">
        <f>+AI2+1</f>
        <v>2026</v>
      </c>
      <c r="AK2">
        <f t="shared" ref="AK2" si="1">+AJ2+1</f>
        <v>2027</v>
      </c>
      <c r="AL2">
        <f t="shared" ref="AL2" si="2">+AK2+1</f>
        <v>2028</v>
      </c>
      <c r="AM2">
        <f t="shared" ref="AM2" si="3">+AL2+1</f>
        <v>2029</v>
      </c>
      <c r="AN2">
        <v>2030</v>
      </c>
    </row>
    <row r="3" spans="1:40" x14ac:dyDescent="0.2">
      <c r="B3" t="s">
        <v>47</v>
      </c>
      <c r="G3" s="2">
        <v>1406</v>
      </c>
      <c r="H3" s="2">
        <v>1570</v>
      </c>
      <c r="K3" s="2">
        <v>2250</v>
      </c>
      <c r="L3" s="2">
        <v>2420</v>
      </c>
    </row>
    <row r="5" spans="1:40" x14ac:dyDescent="0.2">
      <c r="X5" s="2">
        <v>789</v>
      </c>
    </row>
    <row r="6" spans="1:40" s="3" customFormat="1" x14ac:dyDescent="0.2">
      <c r="B6" s="3" t="s">
        <v>7</v>
      </c>
      <c r="C6" s="4"/>
      <c r="D6" s="4"/>
      <c r="E6" s="4">
        <v>154.67500000000001</v>
      </c>
      <c r="F6" s="4">
        <v>177.53100000000001</v>
      </c>
      <c r="G6" s="4">
        <v>198.54900000000001</v>
      </c>
      <c r="H6" s="4">
        <v>233.54900000000001</v>
      </c>
      <c r="I6" s="4">
        <v>270.488</v>
      </c>
      <c r="J6" s="4">
        <v>326.19799999999998</v>
      </c>
      <c r="K6" s="4">
        <v>363.03</v>
      </c>
      <c r="L6" s="4">
        <v>406.13799999999998</v>
      </c>
      <c r="M6" s="4">
        <v>436.53300000000002</v>
      </c>
      <c r="N6" s="4">
        <v>469.399</v>
      </c>
      <c r="O6" s="4">
        <v>481.714</v>
      </c>
      <c r="P6" s="4">
        <v>509.46</v>
      </c>
      <c r="Q6" s="4">
        <v>547.53599999999994</v>
      </c>
      <c r="R6" s="4">
        <v>589.649</v>
      </c>
      <c r="S6" s="4">
        <v>611.25300000000004</v>
      </c>
      <c r="T6" s="4">
        <v>645.279</v>
      </c>
      <c r="U6" s="4">
        <v>690.01599999999996</v>
      </c>
      <c r="V6" s="4">
        <v>737.72699999999998</v>
      </c>
      <c r="W6" s="4">
        <v>761.553</v>
      </c>
      <c r="X6" s="4">
        <v>827</v>
      </c>
      <c r="Y6" s="4">
        <f>(847+851)/2</f>
        <v>849</v>
      </c>
      <c r="Z6" s="4"/>
      <c r="AA6" s="4"/>
      <c r="AF6" s="3">
        <f>SUM(K6:N6)</f>
        <v>1675.1</v>
      </c>
    </row>
    <row r="7" spans="1:40" s="5" customFormat="1" x14ac:dyDescent="0.2">
      <c r="B7" s="5" t="s">
        <v>20</v>
      </c>
      <c r="C7" s="6"/>
      <c r="D7" s="6"/>
      <c r="E7" s="6">
        <v>33.984000000000002</v>
      </c>
      <c r="F7" s="6">
        <v>40.856000000000002</v>
      </c>
      <c r="G7" s="6">
        <v>46.665999999999997</v>
      </c>
      <c r="H7" s="6">
        <v>57.097999999999999</v>
      </c>
      <c r="I7" s="6">
        <v>63.332000000000001</v>
      </c>
      <c r="J7" s="6">
        <v>67.149000000000001</v>
      </c>
      <c r="K7" s="6">
        <v>74.462000000000003</v>
      </c>
      <c r="L7" s="6">
        <v>81.924999999999997</v>
      </c>
      <c r="M7" s="6">
        <v>93.599000000000004</v>
      </c>
      <c r="N7" s="6">
        <v>96.757000000000005</v>
      </c>
      <c r="O7" s="6">
        <v>99.914000000000001</v>
      </c>
      <c r="P7" s="6">
        <v>101.846</v>
      </c>
      <c r="Q7" s="6">
        <v>103.319</v>
      </c>
      <c r="R7" s="6">
        <v>104.82899999999999</v>
      </c>
      <c r="S7" s="6">
        <v>110.098</v>
      </c>
      <c r="T7" s="6">
        <v>123.499</v>
      </c>
      <c r="U7" s="6">
        <v>137.756</v>
      </c>
      <c r="V7" s="6">
        <v>144.178</v>
      </c>
      <c r="W7" s="6">
        <v>157.62799999999999</v>
      </c>
      <c r="X7" s="6">
        <v>165.97800000000001</v>
      </c>
      <c r="Y7" s="6"/>
      <c r="Z7" s="6"/>
      <c r="AA7" s="6"/>
    </row>
    <row r="8" spans="1:40" s="5" customFormat="1" x14ac:dyDescent="0.2">
      <c r="B8" s="5" t="s">
        <v>21</v>
      </c>
      <c r="C8" s="6"/>
      <c r="D8" s="6"/>
      <c r="E8" s="6">
        <f t="shared" ref="E8:L8" si="4">+E6-E7</f>
        <v>120.691</v>
      </c>
      <c r="F8" s="6">
        <f t="shared" si="4"/>
        <v>136.67500000000001</v>
      </c>
      <c r="G8" s="6">
        <f t="shared" si="4"/>
        <v>151.88300000000001</v>
      </c>
      <c r="H8" s="6">
        <f t="shared" si="4"/>
        <v>176.45100000000002</v>
      </c>
      <c r="I8" s="6">
        <f t="shared" si="4"/>
        <v>207.15600000000001</v>
      </c>
      <c r="J8" s="6">
        <f t="shared" si="4"/>
        <v>259.04899999999998</v>
      </c>
      <c r="K8" s="6">
        <f t="shared" si="4"/>
        <v>288.56799999999998</v>
      </c>
      <c r="L8" s="6">
        <f t="shared" si="4"/>
        <v>324.21299999999997</v>
      </c>
      <c r="M8" s="6">
        <f t="shared" ref="M8:T8" si="5">+M6-M7</f>
        <v>342.93400000000003</v>
      </c>
      <c r="N8" s="6">
        <f t="shared" si="5"/>
        <v>372.642</v>
      </c>
      <c r="O8" s="6">
        <f t="shared" si="5"/>
        <v>381.8</v>
      </c>
      <c r="P8" s="6">
        <f t="shared" si="5"/>
        <v>407.61399999999998</v>
      </c>
      <c r="Q8" s="6">
        <f t="shared" si="5"/>
        <v>444.21699999999993</v>
      </c>
      <c r="R8" s="6">
        <f t="shared" si="5"/>
        <v>484.82</v>
      </c>
      <c r="S8" s="6">
        <f t="shared" si="5"/>
        <v>501.15500000000003</v>
      </c>
      <c r="T8" s="6">
        <f t="shared" si="5"/>
        <v>521.78</v>
      </c>
      <c r="U8" s="6">
        <f>+U6-U7</f>
        <v>552.26</v>
      </c>
      <c r="V8" s="6">
        <f>+V6-V7</f>
        <v>593.54899999999998</v>
      </c>
      <c r="W8" s="6">
        <f>+W6-W7</f>
        <v>603.92499999999995</v>
      </c>
      <c r="X8" s="6">
        <f>+X6-X7</f>
        <v>661.02199999999993</v>
      </c>
      <c r="Y8" s="6"/>
      <c r="Z8" s="6"/>
      <c r="AA8" s="6"/>
    </row>
    <row r="9" spans="1:40" s="5" customFormat="1" x14ac:dyDescent="0.2">
      <c r="B9" s="5" t="s">
        <v>22</v>
      </c>
      <c r="C9" s="6"/>
      <c r="D9" s="6"/>
      <c r="E9" s="6">
        <v>56.44</v>
      </c>
      <c r="F9" s="6">
        <v>67.697999999999993</v>
      </c>
      <c r="G9" s="6">
        <v>79.266000000000005</v>
      </c>
      <c r="H9" s="6">
        <v>94.778999999999996</v>
      </c>
      <c r="I9" s="6">
        <v>112.675</v>
      </c>
      <c r="J9" s="6">
        <v>133.04900000000001</v>
      </c>
      <c r="K9" s="6">
        <v>150.608</v>
      </c>
      <c r="L9" s="6">
        <v>177.69900000000001</v>
      </c>
      <c r="M9" s="6">
        <v>205.38800000000001</v>
      </c>
      <c r="N9" s="6">
        <v>218.65600000000001</v>
      </c>
      <c r="O9" s="6">
        <v>229.47800000000001</v>
      </c>
      <c r="P9" s="6">
        <v>239.494</v>
      </c>
      <c r="Q9" s="6">
        <v>240.22499999999999</v>
      </c>
      <c r="R9" s="6">
        <v>253.25</v>
      </c>
      <c r="S9" s="6">
        <v>269.988</v>
      </c>
      <c r="T9" s="6">
        <v>274.59899999999999</v>
      </c>
      <c r="U9" s="6">
        <v>291.80200000000002</v>
      </c>
      <c r="V9" s="6">
        <v>316.31400000000002</v>
      </c>
      <c r="W9" s="6">
        <v>341.06099999999998</v>
      </c>
      <c r="X9" s="6">
        <v>387.48200000000003</v>
      </c>
      <c r="Y9" s="6"/>
      <c r="Z9" s="6"/>
      <c r="AA9" s="6"/>
    </row>
    <row r="10" spans="1:40" s="5" customFormat="1" x14ac:dyDescent="0.2">
      <c r="B10" s="5" t="s">
        <v>23</v>
      </c>
      <c r="C10" s="6"/>
      <c r="D10" s="6"/>
      <c r="E10" s="6">
        <v>57.142000000000003</v>
      </c>
      <c r="F10" s="6">
        <v>60.033999999999999</v>
      </c>
      <c r="G10" s="6">
        <v>64.352999999999994</v>
      </c>
      <c r="H10" s="6">
        <v>70.412000000000006</v>
      </c>
      <c r="I10" s="6">
        <v>75.826999999999998</v>
      </c>
      <c r="J10" s="6">
        <v>88.905000000000001</v>
      </c>
      <c r="K10" s="6">
        <v>101.166</v>
      </c>
      <c r="L10" s="6">
        <v>115.27</v>
      </c>
      <c r="M10" s="6">
        <v>129.49299999999999</v>
      </c>
      <c r="N10" s="6">
        <v>149.35900000000001</v>
      </c>
      <c r="O10" s="6">
        <v>144.971</v>
      </c>
      <c r="P10" s="6">
        <v>147.45500000000001</v>
      </c>
      <c r="Q10" s="6">
        <v>156.87</v>
      </c>
      <c r="R10" s="6">
        <v>159.97999999999999</v>
      </c>
      <c r="S10" s="6">
        <v>173.881</v>
      </c>
      <c r="T10" s="6">
        <v>187.005</v>
      </c>
      <c r="U10" s="6">
        <v>187.77199999999999</v>
      </c>
      <c r="V10" s="6">
        <v>207.947</v>
      </c>
      <c r="W10" s="6">
        <v>214.291</v>
      </c>
      <c r="X10" s="6">
        <v>239.02600000000001</v>
      </c>
      <c r="Y10" s="6"/>
      <c r="Z10" s="6"/>
      <c r="AA10" s="6"/>
    </row>
    <row r="11" spans="1:40" s="5" customFormat="1" x14ac:dyDescent="0.2">
      <c r="B11" s="5" t="s">
        <v>24</v>
      </c>
      <c r="C11" s="6"/>
      <c r="D11" s="6"/>
      <c r="E11" s="6">
        <v>16.376000000000001</v>
      </c>
      <c r="F11" s="6">
        <v>17.881</v>
      </c>
      <c r="G11" s="6">
        <v>21.094000000000001</v>
      </c>
      <c r="H11" s="6">
        <v>21.146000000000001</v>
      </c>
      <c r="I11" s="6">
        <v>23.548999999999999</v>
      </c>
      <c r="J11" s="6">
        <v>28.64</v>
      </c>
      <c r="K11" s="6">
        <v>26.38</v>
      </c>
      <c r="L11" s="6">
        <v>34.383000000000003</v>
      </c>
      <c r="M11" s="6">
        <v>39.395000000000003</v>
      </c>
      <c r="N11" s="6">
        <v>39.255000000000003</v>
      </c>
      <c r="O11" s="6">
        <v>42.320999999999998</v>
      </c>
      <c r="P11" s="6">
        <v>42.670999999999999</v>
      </c>
      <c r="Q11" s="6">
        <v>51.351999999999997</v>
      </c>
      <c r="R11" s="6">
        <v>43.847999999999999</v>
      </c>
      <c r="S11" s="6">
        <v>45.29</v>
      </c>
      <c r="T11" s="6">
        <v>47.558</v>
      </c>
      <c r="U11" s="6">
        <v>52.408000000000001</v>
      </c>
      <c r="V11" s="6">
        <v>59.896000000000001</v>
      </c>
      <c r="W11" s="6">
        <v>60.993000000000002</v>
      </c>
      <c r="X11" s="6">
        <v>69.774000000000001</v>
      </c>
      <c r="Y11" s="6"/>
      <c r="Z11" s="6"/>
      <c r="AA11" s="6"/>
    </row>
    <row r="12" spans="1:40" s="5" customFormat="1" x14ac:dyDescent="0.2">
      <c r="B12" s="5" t="s">
        <v>25</v>
      </c>
      <c r="C12" s="6"/>
      <c r="D12" s="6"/>
      <c r="E12" s="6">
        <f t="shared" ref="E12:L12" si="6">SUM(E9:E11)</f>
        <v>129.958</v>
      </c>
      <c r="F12" s="6">
        <f t="shared" si="6"/>
        <v>145.613</v>
      </c>
      <c r="G12" s="6">
        <f t="shared" si="6"/>
        <v>164.71299999999999</v>
      </c>
      <c r="H12" s="6">
        <f t="shared" si="6"/>
        <v>186.33699999999999</v>
      </c>
      <c r="I12" s="6">
        <f t="shared" si="6"/>
        <v>212.05100000000002</v>
      </c>
      <c r="J12" s="6">
        <f t="shared" si="6"/>
        <v>250.59399999999999</v>
      </c>
      <c r="K12" s="6">
        <f t="shared" si="6"/>
        <v>278.154</v>
      </c>
      <c r="L12" s="6">
        <f t="shared" si="6"/>
        <v>327.35199999999998</v>
      </c>
      <c r="M12" s="6">
        <f t="shared" ref="M12:U12" si="7">+M11+M10+M9</f>
        <v>374.27600000000001</v>
      </c>
      <c r="N12" s="6">
        <f t="shared" si="7"/>
        <v>407.27</v>
      </c>
      <c r="O12" s="6">
        <f t="shared" si="7"/>
        <v>416.77</v>
      </c>
      <c r="P12" s="6">
        <f t="shared" si="7"/>
        <v>429.62</v>
      </c>
      <c r="Q12" s="6">
        <f t="shared" si="7"/>
        <v>448.447</v>
      </c>
      <c r="R12" s="6">
        <f t="shared" si="7"/>
        <v>457.07799999999997</v>
      </c>
      <c r="S12" s="6">
        <f t="shared" si="7"/>
        <v>489.15899999999999</v>
      </c>
      <c r="T12" s="6">
        <f t="shared" si="7"/>
        <v>509.16199999999998</v>
      </c>
      <c r="U12" s="6">
        <f t="shared" si="7"/>
        <v>531.98199999999997</v>
      </c>
      <c r="V12" s="6">
        <f t="shared" ref="V12:W12" si="8">+V11+V10+V9</f>
        <v>584.15700000000004</v>
      </c>
      <c r="W12" s="6">
        <f t="shared" si="8"/>
        <v>616.34500000000003</v>
      </c>
      <c r="X12" s="6">
        <f t="shared" ref="X12" si="9">+X11+X10+X9</f>
        <v>696.28200000000004</v>
      </c>
      <c r="Y12" s="6"/>
      <c r="Z12" s="6"/>
      <c r="AA12" s="6"/>
    </row>
    <row r="13" spans="1:40" s="5" customFormat="1" x14ac:dyDescent="0.2">
      <c r="B13" s="5" t="s">
        <v>26</v>
      </c>
      <c r="C13" s="6"/>
      <c r="D13" s="6"/>
      <c r="E13" s="6">
        <f t="shared" ref="E13:L13" si="10">E8-E12</f>
        <v>-9.2669999999999959</v>
      </c>
      <c r="F13" s="6">
        <f t="shared" si="10"/>
        <v>-8.9379999999999882</v>
      </c>
      <c r="G13" s="6">
        <f t="shared" si="10"/>
        <v>-12.829999999999984</v>
      </c>
      <c r="H13" s="6">
        <f t="shared" si="10"/>
        <v>-9.8859999999999673</v>
      </c>
      <c r="I13" s="6">
        <f t="shared" si="10"/>
        <v>-4.8950000000000102</v>
      </c>
      <c r="J13" s="6">
        <f t="shared" si="10"/>
        <v>8.4549999999999841</v>
      </c>
      <c r="K13" s="6">
        <f t="shared" si="10"/>
        <v>10.413999999999987</v>
      </c>
      <c r="L13" s="6">
        <f t="shared" si="10"/>
        <v>-3.13900000000001</v>
      </c>
      <c r="M13" s="6">
        <f t="shared" ref="M13:U13" si="11">+M8-M12</f>
        <v>-31.341999999999985</v>
      </c>
      <c r="N13" s="6">
        <f t="shared" si="11"/>
        <v>-34.627999999999986</v>
      </c>
      <c r="O13" s="6">
        <f t="shared" si="11"/>
        <v>-34.96999999999997</v>
      </c>
      <c r="P13" s="6">
        <f t="shared" si="11"/>
        <v>-22.006000000000029</v>
      </c>
      <c r="Q13" s="6">
        <f t="shared" si="11"/>
        <v>-4.230000000000075</v>
      </c>
      <c r="R13" s="6">
        <f t="shared" si="11"/>
        <v>27.742000000000019</v>
      </c>
      <c r="S13" s="6">
        <f t="shared" si="11"/>
        <v>11.996000000000038</v>
      </c>
      <c r="T13" s="6">
        <f t="shared" si="11"/>
        <v>12.617999999999995</v>
      </c>
      <c r="U13" s="6">
        <f t="shared" si="11"/>
        <v>20.27800000000002</v>
      </c>
      <c r="V13" s="6">
        <f t="shared" ref="V13:W13" si="12">+V8-V12</f>
        <v>9.3919999999999391</v>
      </c>
      <c r="W13" s="6">
        <f t="shared" si="12"/>
        <v>-12.420000000000073</v>
      </c>
      <c r="X13" s="6">
        <f t="shared" ref="X13" si="13">+X8-X12</f>
        <v>-35.260000000000105</v>
      </c>
      <c r="Y13" s="6"/>
      <c r="Z13" s="6"/>
      <c r="AA13" s="6"/>
    </row>
    <row r="14" spans="1:40" s="5" customFormat="1" x14ac:dyDescent="0.2">
      <c r="B14" s="5" t="s">
        <v>27</v>
      </c>
      <c r="C14" s="6"/>
      <c r="D14" s="6"/>
      <c r="E14" s="6">
        <v>-5.2880000000000003</v>
      </c>
      <c r="F14" s="6">
        <v>-6.2290000000000001</v>
      </c>
      <c r="G14" s="6">
        <f>-5.472+5.773</f>
        <v>0.30099999999999927</v>
      </c>
      <c r="H14" s="6">
        <f>-5.064+5.292</f>
        <v>0.22799999999999976</v>
      </c>
      <c r="I14" s="6">
        <v>0.128</v>
      </c>
      <c r="J14" s="6">
        <f>-5.604+5.681</f>
        <v>7.6999999999999957E-2</v>
      </c>
      <c r="K14" s="6">
        <f>-5.247+5.687</f>
        <v>0.44000000000000039</v>
      </c>
      <c r="L14" s="6">
        <f>-4.541+7.669</f>
        <v>3.1279999999999992</v>
      </c>
      <c r="M14" s="6">
        <f>-3.728+12.011</f>
        <v>8.2829999999999995</v>
      </c>
      <c r="N14" s="6">
        <f>-3.019+11.793</f>
        <v>8.7739999999999991</v>
      </c>
      <c r="O14" s="6">
        <f>-2.181+16.727</f>
        <v>14.545999999999999</v>
      </c>
      <c r="P14" s="6">
        <f>-1.526+22.624</f>
        <v>21.097999999999999</v>
      </c>
      <c r="Q14" s="6">
        <f>-1.303+29.833</f>
        <v>28.529999999999998</v>
      </c>
      <c r="R14" s="6">
        <f>-1.292+30.817</f>
        <v>29.524999999999999</v>
      </c>
      <c r="S14" s="6">
        <f>-1.374+35.563</f>
        <v>34.189</v>
      </c>
      <c r="T14" s="6">
        <f>-1.477+36.652</f>
        <v>35.175000000000004</v>
      </c>
      <c r="U14" s="6">
        <v>35.857999999999997</v>
      </c>
      <c r="V14" s="6">
        <v>44.433999999999997</v>
      </c>
      <c r="W14" s="6">
        <v>44.216000000000001</v>
      </c>
      <c r="X14" s="6">
        <f>44.663-3.075</f>
        <v>41.587999999999994</v>
      </c>
      <c r="Y14" s="6"/>
      <c r="Z14" s="6"/>
      <c r="AA14" s="6"/>
    </row>
    <row r="15" spans="1:40" s="5" customFormat="1" x14ac:dyDescent="0.2">
      <c r="B15" s="5" t="s">
        <v>28</v>
      </c>
      <c r="C15" s="6"/>
      <c r="D15" s="6"/>
      <c r="E15" s="6">
        <f t="shared" ref="E15:L15" si="14">+E13+E14</f>
        <v>-14.554999999999996</v>
      </c>
      <c r="F15" s="6">
        <f t="shared" si="14"/>
        <v>-15.166999999999987</v>
      </c>
      <c r="G15" s="6">
        <f t="shared" si="14"/>
        <v>-12.528999999999986</v>
      </c>
      <c r="H15" s="6">
        <f t="shared" si="14"/>
        <v>-9.6579999999999675</v>
      </c>
      <c r="I15" s="6">
        <f t="shared" si="14"/>
        <v>-4.7670000000000101</v>
      </c>
      <c r="J15" s="6">
        <f t="shared" si="14"/>
        <v>8.531999999999984</v>
      </c>
      <c r="K15" s="6">
        <f t="shared" si="14"/>
        <v>10.853999999999989</v>
      </c>
      <c r="L15" s="6">
        <f t="shared" si="14"/>
        <v>-1.1000000000010779E-2</v>
      </c>
      <c r="M15" s="6">
        <f t="shared" ref="M15:U15" si="15">+M13+M14</f>
        <v>-23.058999999999983</v>
      </c>
      <c r="N15" s="6">
        <f t="shared" si="15"/>
        <v>-25.853999999999985</v>
      </c>
      <c r="O15" s="6">
        <f t="shared" si="15"/>
        <v>-20.423999999999971</v>
      </c>
      <c r="P15" s="6">
        <f t="shared" si="15"/>
        <v>-0.90800000000002967</v>
      </c>
      <c r="Q15" s="6">
        <f t="shared" si="15"/>
        <v>24.299999999999923</v>
      </c>
      <c r="R15" s="6">
        <f t="shared" si="15"/>
        <v>57.267000000000017</v>
      </c>
      <c r="S15" s="6">
        <f t="shared" si="15"/>
        <v>46.185000000000038</v>
      </c>
      <c r="T15" s="6">
        <f t="shared" si="15"/>
        <v>47.792999999999999</v>
      </c>
      <c r="U15" s="6">
        <f t="shared" si="15"/>
        <v>56.136000000000017</v>
      </c>
      <c r="V15" s="6">
        <f t="shared" ref="V15:X15" si="16">+V13+V14</f>
        <v>53.825999999999937</v>
      </c>
      <c r="W15" s="6">
        <f t="shared" si="16"/>
        <v>31.795999999999928</v>
      </c>
      <c r="X15" s="6">
        <f t="shared" si="16"/>
        <v>6.3279999999998893</v>
      </c>
      <c r="Y15" s="6"/>
      <c r="Z15" s="6"/>
      <c r="AA15" s="6"/>
    </row>
    <row r="16" spans="1:40" s="5" customFormat="1" x14ac:dyDescent="0.2">
      <c r="B16" s="5" t="s">
        <v>31</v>
      </c>
      <c r="C16" s="6"/>
      <c r="D16" s="6"/>
      <c r="E16" s="6">
        <v>0.59499999999999997</v>
      </c>
      <c r="F16" s="6">
        <v>0.99299999999999999</v>
      </c>
      <c r="G16" s="6">
        <v>-0.53900000000000003</v>
      </c>
      <c r="H16" s="6">
        <v>-2.96</v>
      </c>
      <c r="I16" s="6">
        <v>-0.71699999999999997</v>
      </c>
      <c r="J16" s="6">
        <v>1.363</v>
      </c>
      <c r="K16" s="6">
        <v>1.1160000000000001</v>
      </c>
      <c r="L16" s="6">
        <v>4.8680000000000003</v>
      </c>
      <c r="M16" s="6">
        <v>2.9260000000000002</v>
      </c>
      <c r="N16" s="6">
        <v>3.18</v>
      </c>
      <c r="O16" s="6">
        <v>3.6619999999999999</v>
      </c>
      <c r="P16" s="6">
        <v>3.0609999999999999</v>
      </c>
      <c r="Q16" s="6">
        <v>1.67</v>
      </c>
      <c r="R16" s="6">
        <v>3.274</v>
      </c>
      <c r="S16" s="6">
        <v>3.5539999999999998</v>
      </c>
      <c r="T16" s="6">
        <v>3.9689999999999999</v>
      </c>
      <c r="U16" s="6">
        <v>4.4390000000000001</v>
      </c>
      <c r="V16" s="6">
        <v>8.2319999999999993</v>
      </c>
      <c r="W16" s="6">
        <v>7.1539999999999999</v>
      </c>
      <c r="X16" s="6">
        <v>3.4409999999999998</v>
      </c>
      <c r="Y16" s="6"/>
      <c r="Z16" s="6"/>
      <c r="AA16" s="6"/>
    </row>
    <row r="17" spans="2:107" s="5" customFormat="1" x14ac:dyDescent="0.2">
      <c r="B17" s="5" t="s">
        <v>29</v>
      </c>
      <c r="C17" s="6"/>
      <c r="D17" s="6"/>
      <c r="E17" s="6">
        <f t="shared" ref="E17:L17" si="17">+E15-E16</f>
        <v>-15.149999999999997</v>
      </c>
      <c r="F17" s="6">
        <f t="shared" si="17"/>
        <v>-16.159999999999986</v>
      </c>
      <c r="G17" s="6">
        <f t="shared" si="17"/>
        <v>-11.989999999999986</v>
      </c>
      <c r="H17" s="6">
        <f t="shared" si="17"/>
        <v>-6.6979999999999675</v>
      </c>
      <c r="I17" s="6">
        <f t="shared" si="17"/>
        <v>-4.0500000000000105</v>
      </c>
      <c r="J17" s="6">
        <f t="shared" si="17"/>
        <v>7.1689999999999845</v>
      </c>
      <c r="K17" s="6">
        <f t="shared" si="17"/>
        <v>9.7379999999999889</v>
      </c>
      <c r="L17" s="6">
        <f t="shared" si="17"/>
        <v>-4.8790000000000111</v>
      </c>
      <c r="M17" s="6">
        <f t="shared" ref="M17:U17" si="18">+M15-M16</f>
        <v>-25.984999999999985</v>
      </c>
      <c r="N17" s="6">
        <f t="shared" si="18"/>
        <v>-29.033999999999985</v>
      </c>
      <c r="O17" s="6">
        <f t="shared" si="18"/>
        <v>-24.08599999999997</v>
      </c>
      <c r="P17" s="6">
        <f t="shared" si="18"/>
        <v>-3.9690000000000296</v>
      </c>
      <c r="Q17" s="6">
        <f t="shared" si="18"/>
        <v>22.629999999999924</v>
      </c>
      <c r="R17" s="6">
        <f t="shared" si="18"/>
        <v>53.993000000000016</v>
      </c>
      <c r="S17" s="6">
        <f t="shared" si="18"/>
        <v>42.631000000000036</v>
      </c>
      <c r="T17" s="6">
        <f t="shared" si="18"/>
        <v>43.823999999999998</v>
      </c>
      <c r="U17" s="6">
        <f t="shared" si="18"/>
        <v>51.697000000000017</v>
      </c>
      <c r="V17" s="6">
        <f t="shared" ref="V17:X17" si="19">+V15-V16</f>
        <v>45.593999999999937</v>
      </c>
      <c r="W17" s="6">
        <f t="shared" si="19"/>
        <v>24.641999999999928</v>
      </c>
      <c r="X17" s="6">
        <f t="shared" si="19"/>
        <v>2.8869999999998894</v>
      </c>
      <c r="Y17" s="6"/>
      <c r="Z17" s="6"/>
      <c r="AA17" s="6"/>
    </row>
    <row r="18" spans="2:107" s="1" customFormat="1" x14ac:dyDescent="0.2">
      <c r="B18" s="1" t="s">
        <v>30</v>
      </c>
      <c r="C18" s="7"/>
      <c r="D18" s="7"/>
      <c r="E18" s="7">
        <f t="shared" ref="E18:L18" si="20">+E17/E19</f>
        <v>-5.0073705850856368E-2</v>
      </c>
      <c r="F18" s="7">
        <f t="shared" si="20"/>
        <v>-5.3147929500060795E-2</v>
      </c>
      <c r="G18" s="7">
        <f t="shared" si="20"/>
        <v>-3.9178653352241861E-2</v>
      </c>
      <c r="H18" s="7">
        <f t="shared" si="20"/>
        <v>-2.1745411809011676E-2</v>
      </c>
      <c r="I18" s="7">
        <f t="shared" si="20"/>
        <v>-1.3054114947122809E-2</v>
      </c>
      <c r="J18" s="7">
        <f t="shared" si="20"/>
        <v>2.0727021455604115E-2</v>
      </c>
      <c r="K18" s="7">
        <f t="shared" si="20"/>
        <v>2.8171540321927365E-2</v>
      </c>
      <c r="L18" s="7">
        <f t="shared" si="20"/>
        <v>-1.5498975523753589E-2</v>
      </c>
      <c r="M18" s="7">
        <f t="shared" ref="M18:U18" si="21">+M17/M19</f>
        <v>-8.223361498781602E-2</v>
      </c>
      <c r="N18" s="7">
        <f t="shared" si="21"/>
        <v>-9.1489468974122995E-2</v>
      </c>
      <c r="O18" s="7">
        <f t="shared" si="21"/>
        <v>-7.5437068960117162E-2</v>
      </c>
      <c r="P18" s="7">
        <f t="shared" si="21"/>
        <v>-1.2317862296913644E-2</v>
      </c>
      <c r="Q18" s="7">
        <f t="shared" si="21"/>
        <v>6.4416226171262123E-2</v>
      </c>
      <c r="R18" s="7">
        <f t="shared" si="21"/>
        <v>0.15299498168072614</v>
      </c>
      <c r="S18" s="7">
        <f t="shared" si="21"/>
        <v>0.11975706432121007</v>
      </c>
      <c r="T18" s="7">
        <f t="shared" si="21"/>
        <v>0.12284577002859225</v>
      </c>
      <c r="U18" s="7">
        <f t="shared" si="21"/>
        <v>0.14455240678345246</v>
      </c>
      <c r="V18" s="7">
        <f t="shared" ref="V18:X18" si="22">+V17/V19</f>
        <v>0.12632016401617979</v>
      </c>
      <c r="W18" s="7">
        <f t="shared" si="22"/>
        <v>6.7869713945763521E-2</v>
      </c>
      <c r="X18" s="7">
        <f t="shared" si="22"/>
        <v>8.0479475921663921E-3</v>
      </c>
      <c r="Y18" s="7"/>
      <c r="Z18" s="7"/>
      <c r="AA18" s="7"/>
    </row>
    <row r="19" spans="2:107" s="5" customFormat="1" x14ac:dyDescent="0.2">
      <c r="B19" s="5" t="s">
        <v>1</v>
      </c>
      <c r="C19" s="6"/>
      <c r="D19" s="6"/>
      <c r="E19" s="6">
        <v>302.55399999999997</v>
      </c>
      <c r="F19" s="6">
        <v>304.05700000000002</v>
      </c>
      <c r="G19" s="6">
        <v>306.03399999999999</v>
      </c>
      <c r="H19" s="6">
        <v>308.01900000000001</v>
      </c>
      <c r="I19" s="6">
        <v>310.24700000000001</v>
      </c>
      <c r="J19" s="6">
        <v>345.87700000000001</v>
      </c>
      <c r="K19" s="6">
        <v>345.66800000000001</v>
      </c>
      <c r="L19" s="6">
        <v>314.79500000000002</v>
      </c>
      <c r="M19" s="6">
        <v>315.99</v>
      </c>
      <c r="N19" s="6">
        <v>317.34800000000001</v>
      </c>
      <c r="O19" s="6">
        <v>319.286</v>
      </c>
      <c r="P19" s="6">
        <v>322.21499999999997</v>
      </c>
      <c r="Q19" s="6">
        <v>351.30900000000003</v>
      </c>
      <c r="R19" s="6">
        <v>352.90699999999998</v>
      </c>
      <c r="S19" s="6">
        <v>355.97899999999998</v>
      </c>
      <c r="T19" s="6">
        <v>356.74</v>
      </c>
      <c r="U19" s="6">
        <v>357.63499999999999</v>
      </c>
      <c r="V19" s="6">
        <v>360.94</v>
      </c>
      <c r="W19" s="6">
        <v>363.07799999999997</v>
      </c>
      <c r="X19" s="6">
        <v>358.72500000000002</v>
      </c>
      <c r="Y19" s="6"/>
      <c r="Z19" s="6"/>
      <c r="AA19" s="6"/>
      <c r="AI19" s="16">
        <f>(AI20-AI21)/AI21</f>
        <v>4.6466801947173206E-3</v>
      </c>
    </row>
    <row r="20" spans="2:107" x14ac:dyDescent="0.2">
      <c r="AI20">
        <f>(3312+3322)/2</f>
        <v>3317</v>
      </c>
    </row>
    <row r="21" spans="2:107" s="11" customFormat="1" x14ac:dyDescent="0.2">
      <c r="B21" s="3" t="s">
        <v>45</v>
      </c>
      <c r="C21" s="9"/>
      <c r="D21" s="9"/>
      <c r="E21" s="9"/>
      <c r="F21" s="9"/>
      <c r="G21" s="9"/>
      <c r="H21" s="9"/>
      <c r="I21" s="10">
        <f t="shared" ref="I21:K21" si="23">+I6/E6-1</f>
        <v>0.74875060610958455</v>
      </c>
      <c r="J21" s="10">
        <f t="shared" si="23"/>
        <v>0.83741431074009598</v>
      </c>
      <c r="K21" s="10">
        <f t="shared" si="23"/>
        <v>0.82841515192723181</v>
      </c>
      <c r="L21" s="10">
        <f t="shared" ref="L21:S21" si="24">+L6/H6-1</f>
        <v>0.73898411040081502</v>
      </c>
      <c r="M21" s="10">
        <f t="shared" si="24"/>
        <v>0.61387196474520134</v>
      </c>
      <c r="N21" s="10">
        <f t="shared" si="24"/>
        <v>0.43900023911857233</v>
      </c>
      <c r="O21" s="10">
        <f t="shared" si="24"/>
        <v>0.32692614935404807</v>
      </c>
      <c r="P21" s="10">
        <f t="shared" si="24"/>
        <v>0.25440121338067367</v>
      </c>
      <c r="Q21" s="10">
        <f t="shared" si="24"/>
        <v>0.25428318134024219</v>
      </c>
      <c r="R21" s="10">
        <f t="shared" si="24"/>
        <v>0.25617864545940661</v>
      </c>
      <c r="S21" s="10">
        <f t="shared" si="24"/>
        <v>0.26891267432542976</v>
      </c>
      <c r="T21" s="10">
        <f t="shared" ref="T21:Y21" si="25">+T6/P6-1</f>
        <v>0.26659404074902837</v>
      </c>
      <c r="U21" s="10">
        <f t="shared" si="25"/>
        <v>0.26022033254434418</v>
      </c>
      <c r="V21" s="10">
        <f t="shared" si="25"/>
        <v>0.25112906152643344</v>
      </c>
      <c r="W21" s="10">
        <f t="shared" si="25"/>
        <v>0.24588836373809198</v>
      </c>
      <c r="X21" s="10">
        <f t="shared" si="25"/>
        <v>0.28161616912994214</v>
      </c>
      <c r="Y21" s="10">
        <f t="shared" si="25"/>
        <v>0.23040625144924176</v>
      </c>
      <c r="Z21" s="10"/>
      <c r="AA21" s="10"/>
      <c r="AE21" s="3">
        <f>SUM(G6:J6)</f>
        <v>1028.7840000000001</v>
      </c>
      <c r="AF21" s="3">
        <f>SUM(K6:N6)</f>
        <v>1675.1</v>
      </c>
      <c r="AG21" s="3">
        <f>SUM(O6:R6)</f>
        <v>2128.3589999999999</v>
      </c>
      <c r="AH21" s="3">
        <f>SUM(S6:V6)</f>
        <v>2684.2750000000001</v>
      </c>
      <c r="AI21" s="3">
        <f t="shared" ref="AI21:AN21" si="26">AH21*(1+$AB$29)</f>
        <v>3301.65825</v>
      </c>
      <c r="AJ21" s="3">
        <f t="shared" si="26"/>
        <v>4061.0396474999998</v>
      </c>
      <c r="AK21" s="3">
        <f t="shared" si="26"/>
        <v>4995.0787664249992</v>
      </c>
      <c r="AL21" s="3">
        <f t="shared" si="26"/>
        <v>6143.9468827027486</v>
      </c>
      <c r="AM21" s="3">
        <f t="shared" si="26"/>
        <v>7557.0546657243804</v>
      </c>
      <c r="AN21" s="3">
        <f t="shared" si="26"/>
        <v>9295.1772388409881</v>
      </c>
      <c r="AO21" s="11">
        <f t="shared" ref="AO21:BT21" si="27">AN21*(1+$AB$30)</f>
        <v>9388.1290112293973</v>
      </c>
      <c r="AP21" s="11">
        <f t="shared" si="27"/>
        <v>9482.010301341692</v>
      </c>
      <c r="AQ21" s="11">
        <f t="shared" si="27"/>
        <v>9576.8304043551088</v>
      </c>
      <c r="AR21" s="11">
        <f t="shared" si="27"/>
        <v>9672.5987083986602</v>
      </c>
      <c r="AS21" s="11">
        <f t="shared" si="27"/>
        <v>9769.3246954826463</v>
      </c>
      <c r="AT21" s="11">
        <f t="shared" si="27"/>
        <v>9867.0179424374728</v>
      </c>
      <c r="AU21" s="11">
        <f t="shared" si="27"/>
        <v>9965.6881218618473</v>
      </c>
      <c r="AV21" s="11">
        <f t="shared" si="27"/>
        <v>10065.345003080465</v>
      </c>
      <c r="AW21" s="11">
        <f t="shared" si="27"/>
        <v>10165.99845311127</v>
      </c>
      <c r="AX21" s="11">
        <f t="shared" si="27"/>
        <v>10267.658437642382</v>
      </c>
      <c r="AY21" s="11">
        <f t="shared" si="27"/>
        <v>10370.335022018806</v>
      </c>
      <c r="AZ21" s="11">
        <f t="shared" si="27"/>
        <v>10474.038372238994</v>
      </c>
      <c r="BA21" s="11">
        <f t="shared" si="27"/>
        <v>10578.778755961384</v>
      </c>
      <c r="BB21" s="11">
        <f t="shared" si="27"/>
        <v>10684.566543520998</v>
      </c>
      <c r="BC21" s="11">
        <f t="shared" si="27"/>
        <v>10791.412208956208</v>
      </c>
      <c r="BD21" s="11">
        <f t="shared" si="27"/>
        <v>10899.32633104577</v>
      </c>
      <c r="BE21" s="11">
        <f t="shared" si="27"/>
        <v>11008.319594356228</v>
      </c>
      <c r="BF21" s="11">
        <f t="shared" si="27"/>
        <v>11118.40279029979</v>
      </c>
      <c r="BG21" s="11">
        <f t="shared" si="27"/>
        <v>11229.586818202788</v>
      </c>
      <c r="BH21" s="11">
        <f t="shared" si="27"/>
        <v>11341.882686384815</v>
      </c>
      <c r="BI21" s="11">
        <f t="shared" si="27"/>
        <v>11455.301513248663</v>
      </c>
      <c r="BJ21" s="11">
        <f t="shared" si="27"/>
        <v>11569.854528381151</v>
      </c>
      <c r="BK21" s="11">
        <f t="shared" si="27"/>
        <v>11685.553073664962</v>
      </c>
      <c r="BL21" s="11">
        <f t="shared" si="27"/>
        <v>11802.408604401611</v>
      </c>
      <c r="BM21" s="11">
        <f t="shared" si="27"/>
        <v>11920.432690445627</v>
      </c>
      <c r="BN21" s="11">
        <f t="shared" si="27"/>
        <v>12039.637017350084</v>
      </c>
      <c r="BO21" s="11">
        <f t="shared" si="27"/>
        <v>12160.033387523585</v>
      </c>
      <c r="BP21" s="11">
        <f t="shared" si="27"/>
        <v>12281.633721398821</v>
      </c>
      <c r="BQ21" s="11">
        <f t="shared" si="27"/>
        <v>12404.450058612809</v>
      </c>
      <c r="BR21" s="11">
        <f t="shared" si="27"/>
        <v>12528.494559198936</v>
      </c>
      <c r="BS21" s="11">
        <f t="shared" si="27"/>
        <v>12653.779504790926</v>
      </c>
      <c r="BT21" s="11">
        <f t="shared" si="27"/>
        <v>12780.317299838835</v>
      </c>
      <c r="BU21" s="11">
        <f t="shared" ref="BU21:DC21" si="28">BT21*(1+$AB$30)</f>
        <v>12908.120472837223</v>
      </c>
      <c r="BV21" s="11">
        <f t="shared" si="28"/>
        <v>13037.201677565596</v>
      </c>
      <c r="BW21" s="11">
        <f t="shared" si="28"/>
        <v>13167.573694341252</v>
      </c>
      <c r="BX21" s="11">
        <f t="shared" si="28"/>
        <v>13299.249431284665</v>
      </c>
      <c r="BY21" s="11">
        <f t="shared" si="28"/>
        <v>13432.241925597511</v>
      </c>
      <c r="BZ21" s="11">
        <f t="shared" si="28"/>
        <v>13566.564344853487</v>
      </c>
      <c r="CA21" s="11">
        <f t="shared" si="28"/>
        <v>13702.229988302022</v>
      </c>
      <c r="CB21" s="11">
        <f t="shared" si="28"/>
        <v>13839.252288185042</v>
      </c>
      <c r="CC21" s="11">
        <f t="shared" si="28"/>
        <v>13977.644811066892</v>
      </c>
      <c r="CD21" s="11">
        <f t="shared" si="28"/>
        <v>14117.421259177561</v>
      </c>
      <c r="CE21" s="11">
        <f t="shared" si="28"/>
        <v>14258.595471769337</v>
      </c>
      <c r="CF21" s="11">
        <f t="shared" si="28"/>
        <v>14401.18142648703</v>
      </c>
      <c r="CG21" s="11">
        <f t="shared" si="28"/>
        <v>14545.1932407519</v>
      </c>
      <c r="CH21" s="11">
        <f t="shared" si="28"/>
        <v>14690.645173159419</v>
      </c>
      <c r="CI21" s="11">
        <f t="shared" si="28"/>
        <v>14837.551624891013</v>
      </c>
      <c r="CJ21" s="11">
        <f t="shared" si="28"/>
        <v>14985.927141139924</v>
      </c>
      <c r="CK21" s="11">
        <f t="shared" si="28"/>
        <v>15135.786412551324</v>
      </c>
      <c r="CL21" s="11">
        <f t="shared" si="28"/>
        <v>15287.144276676838</v>
      </c>
      <c r="CM21" s="11">
        <f t="shared" si="28"/>
        <v>15440.015719443607</v>
      </c>
      <c r="CN21" s="11">
        <f t="shared" si="28"/>
        <v>15594.415876638042</v>
      </c>
      <c r="CO21" s="11">
        <f t="shared" si="28"/>
        <v>15750.360035404423</v>
      </c>
      <c r="CP21" s="11">
        <f t="shared" si="28"/>
        <v>15907.863635758467</v>
      </c>
      <c r="CQ21" s="11">
        <f t="shared" si="28"/>
        <v>16066.942272116052</v>
      </c>
      <c r="CR21" s="11">
        <f t="shared" si="28"/>
        <v>16227.611694837213</v>
      </c>
      <c r="CS21" s="11">
        <f t="shared" si="28"/>
        <v>16389.887811785586</v>
      </c>
      <c r="CT21" s="11">
        <f t="shared" si="28"/>
        <v>16553.786689903442</v>
      </c>
      <c r="CU21" s="11">
        <f t="shared" si="28"/>
        <v>16719.324556802476</v>
      </c>
      <c r="CV21" s="11">
        <f t="shared" si="28"/>
        <v>16886.517802370501</v>
      </c>
      <c r="CW21" s="11">
        <f t="shared" si="28"/>
        <v>17055.382980394206</v>
      </c>
      <c r="CX21" s="11">
        <f t="shared" si="28"/>
        <v>17225.936810198149</v>
      </c>
      <c r="CY21" s="11">
        <f t="shared" si="28"/>
        <v>17398.196178300132</v>
      </c>
      <c r="CZ21" s="11">
        <f t="shared" si="28"/>
        <v>17572.178140083131</v>
      </c>
      <c r="DA21" s="11">
        <f t="shared" si="28"/>
        <v>17747.899921483964</v>
      </c>
      <c r="DB21" s="11">
        <f t="shared" si="28"/>
        <v>17925.378920698804</v>
      </c>
      <c r="DC21" s="11">
        <f t="shared" si="28"/>
        <v>18104.632709905793</v>
      </c>
    </row>
    <row r="22" spans="2:107" s="11" customFormat="1" x14ac:dyDescent="0.2">
      <c r="B22" s="3"/>
      <c r="C22" s="9"/>
      <c r="D22" s="9"/>
      <c r="E22" s="9"/>
      <c r="F22" s="9"/>
      <c r="G22" s="9"/>
      <c r="H22" s="9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2:107" x14ac:dyDescent="0.2">
      <c r="B23" s="5" t="s">
        <v>46</v>
      </c>
      <c r="E23" s="12">
        <f t="shared" ref="E23:H23" si="29">+E8/E6</f>
        <v>0.78028770001616288</v>
      </c>
      <c r="F23" s="12">
        <f t="shared" si="29"/>
        <v>0.76986554460911061</v>
      </c>
      <c r="G23" s="12">
        <f t="shared" si="29"/>
        <v>0.7649648197674126</v>
      </c>
      <c r="H23" s="12">
        <f t="shared" si="29"/>
        <v>0.75552025485015994</v>
      </c>
      <c r="I23" s="12">
        <f t="shared" ref="I23:K23" si="30">+I8/I6</f>
        <v>0.76586022300434775</v>
      </c>
      <c r="J23" s="12">
        <f t="shared" si="30"/>
        <v>0.79414649997854059</v>
      </c>
      <c r="K23" s="12">
        <f t="shared" si="30"/>
        <v>0.79488747486433631</v>
      </c>
      <c r="L23" s="12">
        <f>+L8/L6</f>
        <v>0.79828284967178642</v>
      </c>
      <c r="M23" s="12">
        <f t="shared" ref="M23:P23" si="31">+M8/M6</f>
        <v>0.78558551129009724</v>
      </c>
      <c r="N23" s="12">
        <f t="shared" si="31"/>
        <v>0.79387045988593929</v>
      </c>
      <c r="O23" s="12">
        <f t="shared" si="31"/>
        <v>0.79258647247121738</v>
      </c>
      <c r="P23" s="12">
        <f t="shared" si="31"/>
        <v>0.80009029168138812</v>
      </c>
      <c r="Q23" s="12">
        <f t="shared" ref="Q23:R23" si="32">+Q8/Q6</f>
        <v>0.81130190526285029</v>
      </c>
      <c r="R23" s="12">
        <f t="shared" si="32"/>
        <v>0.82221796356815668</v>
      </c>
      <c r="S23" s="12">
        <f t="shared" ref="S23:U23" si="33">+S8/S6</f>
        <v>0.81988145661452783</v>
      </c>
      <c r="T23" s="12">
        <f t="shared" si="33"/>
        <v>0.80861146883751056</v>
      </c>
      <c r="U23" s="12">
        <f t="shared" si="33"/>
        <v>0.80035825256225945</v>
      </c>
      <c r="V23" s="12">
        <f t="shared" ref="V23:Y23" si="34">+V8/V6</f>
        <v>0.80456456114524755</v>
      </c>
      <c r="W23" s="12">
        <f t="shared" si="34"/>
        <v>0.79301768885422286</v>
      </c>
      <c r="X23" s="12">
        <f t="shared" si="34"/>
        <v>0.79930108827085844</v>
      </c>
      <c r="Y23" s="12">
        <f t="shared" si="34"/>
        <v>0</v>
      </c>
      <c r="Z23" s="12"/>
      <c r="AA23" s="12"/>
      <c r="AD23">
        <v>83.207999999999998</v>
      </c>
      <c r="AE23">
        <v>250.52</v>
      </c>
      <c r="AF23">
        <v>353.51799999999997</v>
      </c>
      <c r="AG23">
        <v>597.5</v>
      </c>
      <c r="AH23">
        <v>775</v>
      </c>
    </row>
    <row r="24" spans="2:107" x14ac:dyDescent="0.2">
      <c r="B24" s="5" t="s">
        <v>76</v>
      </c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E24" s="13">
        <f>(AE23-AD23)/AD23</f>
        <v>2.0107681953658303</v>
      </c>
      <c r="AF24" s="13">
        <f>(AF23-AE23)/AE23</f>
        <v>0.41113683538240442</v>
      </c>
      <c r="AG24" s="13">
        <f>(AG23-AF23)/AF23</f>
        <v>0.69015439100696441</v>
      </c>
      <c r="AH24" s="13">
        <f>(AH23-AG23)/AG23</f>
        <v>0.29707112970711297</v>
      </c>
    </row>
    <row r="25" spans="2:107" x14ac:dyDescent="0.2">
      <c r="B25" s="5" t="s">
        <v>77</v>
      </c>
    </row>
    <row r="26" spans="2:107" x14ac:dyDescent="0.2">
      <c r="B26" s="5"/>
    </row>
    <row r="27" spans="2:107" s="5" customFormat="1" x14ac:dyDescent="0.2">
      <c r="B27" s="5" t="s">
        <v>3</v>
      </c>
      <c r="C27" s="6"/>
      <c r="D27" s="6"/>
      <c r="E27" s="6"/>
      <c r="F27" s="6"/>
      <c r="G27" s="6"/>
      <c r="H27" s="6"/>
      <c r="I27" s="6"/>
      <c r="J27" s="6"/>
      <c r="K27" s="6">
        <f>271.686+1399.323+3.424</f>
        <v>1674.433</v>
      </c>
      <c r="L27" s="6">
        <f>238.859+1464.681+3.214</f>
        <v>1706.7539999999999</v>
      </c>
      <c r="M27" s="6"/>
      <c r="N27" s="6"/>
      <c r="O27" s="6"/>
      <c r="P27" s="6"/>
      <c r="Q27" s="6"/>
      <c r="R27" s="6"/>
      <c r="S27" s="6">
        <f>282.218+2499.151</f>
        <v>2781.3689999999997</v>
      </c>
      <c r="T27" s="6">
        <f>410.963+2549.143</f>
        <v>2960.1060000000002</v>
      </c>
      <c r="U27" s="6"/>
      <c r="V27" s="6"/>
      <c r="W27" s="6"/>
      <c r="X27" s="6"/>
      <c r="Y27" s="6"/>
      <c r="Z27" s="6"/>
    </row>
    <row r="28" spans="2:107" s="5" customFormat="1" x14ac:dyDescent="0.2">
      <c r="B28" s="5" t="s">
        <v>33</v>
      </c>
      <c r="C28" s="6"/>
      <c r="D28" s="6"/>
      <c r="E28" s="6"/>
      <c r="F28" s="6"/>
      <c r="G28" s="6"/>
      <c r="H28" s="6"/>
      <c r="I28" s="6"/>
      <c r="J28" s="6"/>
      <c r="K28" s="6">
        <v>275.34199999999998</v>
      </c>
      <c r="L28" s="6">
        <v>305.50099999999998</v>
      </c>
      <c r="M28" s="6"/>
      <c r="N28" s="6"/>
      <c r="O28" s="6"/>
      <c r="P28" s="6"/>
      <c r="Q28" s="6"/>
      <c r="R28" s="6"/>
      <c r="S28" s="6">
        <v>451.05700000000002</v>
      </c>
      <c r="T28" s="6">
        <v>533.29200000000003</v>
      </c>
      <c r="U28" s="6"/>
      <c r="V28" s="6"/>
      <c r="W28" s="6"/>
      <c r="X28" s="6"/>
      <c r="Y28" s="6"/>
      <c r="Z28" s="6"/>
    </row>
    <row r="29" spans="2:107" s="5" customFormat="1" x14ac:dyDescent="0.2">
      <c r="B29" s="5" t="s">
        <v>34</v>
      </c>
      <c r="C29" s="6"/>
      <c r="D29" s="6"/>
      <c r="E29" s="6"/>
      <c r="F29" s="6"/>
      <c r="G29" s="6"/>
      <c r="H29" s="6"/>
      <c r="I29" s="6"/>
      <c r="J29" s="6"/>
      <c r="K29" s="6">
        <f>24.688+42.753</f>
        <v>67.441000000000003</v>
      </c>
      <c r="L29" s="6">
        <f>27.345+46.84</f>
        <v>74.185000000000002</v>
      </c>
      <c r="M29" s="6"/>
      <c r="N29" s="6"/>
      <c r="O29" s="6"/>
      <c r="P29" s="6"/>
      <c r="Q29" s="6"/>
      <c r="R29" s="6"/>
      <c r="S29" s="6">
        <f>46.391+73.067</f>
        <v>119.458</v>
      </c>
      <c r="T29" s="6">
        <f>49.518+77.04</f>
        <v>126.55800000000001</v>
      </c>
      <c r="U29" s="6"/>
      <c r="V29" s="6"/>
      <c r="W29" s="6"/>
      <c r="X29" s="6"/>
      <c r="Y29" s="6"/>
      <c r="Z29" s="6"/>
      <c r="AA29" t="s">
        <v>70</v>
      </c>
      <c r="AB29" s="13">
        <v>0.23</v>
      </c>
    </row>
    <row r="30" spans="2:107" s="5" customFormat="1" x14ac:dyDescent="0.2">
      <c r="B30" s="5" t="s">
        <v>35</v>
      </c>
      <c r="C30" s="6"/>
      <c r="D30" s="6"/>
      <c r="E30" s="6"/>
      <c r="F30" s="6"/>
      <c r="G30" s="6"/>
      <c r="H30" s="6"/>
      <c r="I30" s="6"/>
      <c r="J30" s="6"/>
      <c r="K30" s="6">
        <v>32.631999999999998</v>
      </c>
      <c r="L30" s="6">
        <v>33.201999999999998</v>
      </c>
      <c r="M30" s="6"/>
      <c r="N30" s="6"/>
      <c r="O30" s="6"/>
      <c r="P30" s="6"/>
      <c r="Q30" s="6"/>
      <c r="R30" s="6"/>
      <c r="S30" s="6">
        <v>54.845999999999997</v>
      </c>
      <c r="T30" s="6">
        <v>49.173999999999999</v>
      </c>
      <c r="U30" s="6"/>
      <c r="V30" s="6"/>
      <c r="W30" s="6"/>
      <c r="X30" s="6"/>
      <c r="Y30" s="6"/>
      <c r="Z30" s="6"/>
      <c r="AA30" s="5" t="s">
        <v>72</v>
      </c>
      <c r="AB30" s="13">
        <v>0.01</v>
      </c>
    </row>
    <row r="31" spans="2:107" s="5" customFormat="1" x14ac:dyDescent="0.2">
      <c r="B31" s="5" t="s">
        <v>36</v>
      </c>
      <c r="C31" s="6"/>
      <c r="D31" s="6"/>
      <c r="E31" s="6"/>
      <c r="F31" s="6"/>
      <c r="G31" s="6"/>
      <c r="H31" s="6"/>
      <c r="I31" s="6"/>
      <c r="J31" s="6"/>
      <c r="K31" s="6">
        <v>90.712999999999994</v>
      </c>
      <c r="L31" s="6">
        <v>97.790999999999997</v>
      </c>
      <c r="M31" s="6"/>
      <c r="N31" s="6"/>
      <c r="O31" s="6"/>
      <c r="P31" s="6"/>
      <c r="Q31" s="6"/>
      <c r="R31" s="6"/>
      <c r="S31" s="6">
        <v>182.41900000000001</v>
      </c>
      <c r="T31" s="6">
        <v>198.911</v>
      </c>
      <c r="U31" s="6"/>
      <c r="V31" s="6"/>
      <c r="W31" s="6"/>
      <c r="X31" s="6"/>
      <c r="Y31" s="6"/>
      <c r="Z31" s="6"/>
      <c r="AA31" s="5" t="s">
        <v>71</v>
      </c>
      <c r="AB31" s="13">
        <v>0.1</v>
      </c>
    </row>
    <row r="32" spans="2:107" s="5" customFormat="1" x14ac:dyDescent="0.2">
      <c r="B32" s="5" t="s">
        <v>37</v>
      </c>
      <c r="C32" s="6"/>
      <c r="D32" s="6"/>
      <c r="E32" s="6"/>
      <c r="F32" s="6"/>
      <c r="G32" s="6"/>
      <c r="H32" s="6"/>
      <c r="I32" s="6"/>
      <c r="J32" s="6"/>
      <c r="K32" s="6">
        <v>61.920999999999999</v>
      </c>
      <c r="L32" s="6">
        <v>64.016000000000005</v>
      </c>
      <c r="M32" s="6"/>
      <c r="N32" s="6"/>
      <c r="O32" s="6"/>
      <c r="P32" s="6"/>
      <c r="Q32" s="6"/>
      <c r="R32" s="6"/>
      <c r="S32" s="6">
        <v>173.27</v>
      </c>
      <c r="T32" s="6">
        <v>166.941</v>
      </c>
      <c r="U32" s="6"/>
      <c r="V32" s="6"/>
      <c r="W32" s="6"/>
      <c r="X32" s="6"/>
      <c r="Y32" s="6"/>
      <c r="Z32" s="6"/>
      <c r="AA32" s="5" t="s">
        <v>73</v>
      </c>
      <c r="AB32" s="14">
        <f>NPV(AB31,AE21:DC21)</f>
        <v>62397.590770116811</v>
      </c>
    </row>
    <row r="33" spans="2:28" s="5" customFormat="1" x14ac:dyDescent="0.2">
      <c r="B33" s="5" t="s">
        <v>38</v>
      </c>
      <c r="C33" s="6"/>
      <c r="D33" s="6"/>
      <c r="E33" s="6"/>
      <c r="F33" s="6"/>
      <c r="G33" s="6"/>
      <c r="H33" s="6"/>
      <c r="I33" s="6"/>
      <c r="J33" s="6"/>
      <c r="K33" s="6">
        <f>292.032+14.088</f>
        <v>306.12</v>
      </c>
      <c r="L33" s="6">
        <f>334.687+17.96</f>
        <v>352.64699999999999</v>
      </c>
      <c r="M33" s="6"/>
      <c r="N33" s="6"/>
      <c r="O33" s="6"/>
      <c r="P33" s="6"/>
      <c r="Q33" s="6"/>
      <c r="R33" s="6"/>
      <c r="S33" s="6">
        <f>351.437+7.312</f>
        <v>358.74900000000002</v>
      </c>
      <c r="T33" s="6">
        <f>350.864+5.804</f>
        <v>356.66799999999995</v>
      </c>
      <c r="U33" s="6"/>
      <c r="V33" s="6"/>
      <c r="W33" s="6"/>
      <c r="X33" s="6"/>
      <c r="Y33" s="6"/>
      <c r="Z33" s="6"/>
      <c r="AA33" s="5" t="s">
        <v>1</v>
      </c>
      <c r="AB33" s="5">
        <f>W19</f>
        <v>363.07799999999997</v>
      </c>
    </row>
    <row r="34" spans="2:28" s="5" customFormat="1" x14ac:dyDescent="0.2">
      <c r="B34" s="5" t="s">
        <v>39</v>
      </c>
      <c r="C34" s="6"/>
      <c r="D34" s="6"/>
      <c r="E34" s="6"/>
      <c r="F34" s="6"/>
      <c r="G34" s="6"/>
      <c r="H34" s="6"/>
      <c r="I34" s="6"/>
      <c r="J34" s="6"/>
      <c r="K34" s="6">
        <v>20.413</v>
      </c>
      <c r="L34" s="6">
        <v>20.390999999999998</v>
      </c>
      <c r="M34" s="6"/>
      <c r="N34" s="6"/>
      <c r="O34" s="6"/>
      <c r="P34" s="6"/>
      <c r="Q34" s="6"/>
      <c r="R34" s="6"/>
      <c r="S34" s="6">
        <v>20.297999999999998</v>
      </c>
      <c r="T34" s="6">
        <v>20.741</v>
      </c>
      <c r="U34" s="6"/>
      <c r="V34" s="6"/>
      <c r="W34" s="6"/>
      <c r="X34" s="6"/>
      <c r="Y34" s="6"/>
      <c r="Z34" s="6"/>
      <c r="AA34" s="5" t="s">
        <v>74</v>
      </c>
      <c r="AB34" s="14">
        <f>AB32/AB33</f>
        <v>171.8572614427666</v>
      </c>
    </row>
    <row r="35" spans="2:28" s="5" customFormat="1" x14ac:dyDescent="0.2">
      <c r="B35" s="5" t="s">
        <v>32</v>
      </c>
      <c r="C35" s="6"/>
      <c r="D35" s="6"/>
      <c r="E35" s="6"/>
      <c r="F35" s="6"/>
      <c r="G35" s="6"/>
      <c r="H35" s="6"/>
      <c r="I35" s="6"/>
      <c r="J35" s="6"/>
      <c r="K35" s="6">
        <f>SUM(K27:K34)</f>
        <v>2529.0149999999999</v>
      </c>
      <c r="L35" s="6">
        <f>SUM(L27:L34)</f>
        <v>2654.4870000000001</v>
      </c>
      <c r="M35" s="6"/>
      <c r="N35" s="6"/>
      <c r="O35" s="6"/>
      <c r="P35" s="6"/>
      <c r="Q35" s="6"/>
      <c r="R35" s="6"/>
      <c r="S35" s="6">
        <f>SUM(S27:S34)</f>
        <v>4141.4659999999994</v>
      </c>
      <c r="T35" s="6">
        <f>SUM(T27:T34)</f>
        <v>4412.3909999999996</v>
      </c>
      <c r="U35" s="6"/>
      <c r="V35" s="6"/>
      <c r="W35" s="6"/>
      <c r="X35" s="6"/>
      <c r="Y35" s="6"/>
      <c r="Z35" s="6"/>
      <c r="AA35" s="3" t="s">
        <v>75</v>
      </c>
      <c r="AB35" s="15">
        <f>(AB34-Main!O2)/Main!O2</f>
        <v>8.9427964771896032E-2</v>
      </c>
    </row>
    <row r="36" spans="2:28" x14ac:dyDescent="0.2">
      <c r="AA36" s="5"/>
      <c r="AB36" s="5"/>
    </row>
    <row r="37" spans="2:28" s="5" customFormat="1" x14ac:dyDescent="0.2">
      <c r="B37" s="5" t="s">
        <v>40</v>
      </c>
      <c r="C37" s="6"/>
      <c r="D37" s="6"/>
      <c r="E37" s="6"/>
      <c r="F37" s="6"/>
      <c r="G37" s="6"/>
      <c r="H37" s="6"/>
      <c r="I37" s="6"/>
      <c r="J37" s="6"/>
      <c r="K37" s="6">
        <v>18.629000000000001</v>
      </c>
      <c r="L37" s="6">
        <v>47.65</v>
      </c>
      <c r="M37" s="6"/>
      <c r="N37" s="6"/>
      <c r="O37" s="6"/>
      <c r="P37" s="6"/>
      <c r="Q37" s="6"/>
      <c r="R37" s="6"/>
      <c r="S37" s="6">
        <v>64.316000000000003</v>
      </c>
      <c r="T37" s="6">
        <v>115.991</v>
      </c>
      <c r="U37" s="6"/>
      <c r="V37" s="6"/>
      <c r="W37" s="6"/>
      <c r="X37" s="6"/>
      <c r="Y37" s="6"/>
      <c r="Z37" s="6"/>
      <c r="AA37" s="6"/>
    </row>
    <row r="38" spans="2:28" s="5" customFormat="1" x14ac:dyDescent="0.2">
      <c r="B38" s="5" t="s">
        <v>41</v>
      </c>
      <c r="C38" s="6"/>
      <c r="D38" s="6"/>
      <c r="E38" s="6"/>
      <c r="F38" s="6"/>
      <c r="G38" s="6"/>
      <c r="H38" s="6"/>
      <c r="I38" s="6"/>
      <c r="J38" s="6"/>
      <c r="K38" s="6">
        <v>108.211</v>
      </c>
      <c r="L38" s="6">
        <v>111.622</v>
      </c>
      <c r="M38" s="6"/>
      <c r="N38" s="6"/>
      <c r="O38" s="6"/>
      <c r="P38" s="6"/>
      <c r="Q38" s="6"/>
      <c r="R38" s="6"/>
      <c r="S38" s="6">
        <v>117.41200000000001</v>
      </c>
      <c r="T38" s="6">
        <v>104.791</v>
      </c>
      <c r="U38" s="6"/>
      <c r="V38" s="6"/>
      <c r="W38" s="6"/>
      <c r="X38" s="6"/>
      <c r="Y38" s="6"/>
      <c r="Z38" s="6"/>
      <c r="AA38" s="6"/>
    </row>
    <row r="39" spans="2:28" s="5" customFormat="1" x14ac:dyDescent="0.2">
      <c r="B39" s="5" t="s">
        <v>37</v>
      </c>
      <c r="C39" s="6"/>
      <c r="D39" s="6"/>
      <c r="E39" s="6"/>
      <c r="F39" s="6"/>
      <c r="G39" s="6"/>
      <c r="H39" s="6"/>
      <c r="I39" s="6"/>
      <c r="J39" s="6"/>
      <c r="K39" s="6">
        <f>20.32+51.817</f>
        <v>72.137</v>
      </c>
      <c r="L39" s="6">
        <f>22.357+51.771</f>
        <v>74.128</v>
      </c>
      <c r="M39" s="6"/>
      <c r="N39" s="6"/>
      <c r="O39" s="6"/>
      <c r="P39" s="6"/>
      <c r="Q39" s="6"/>
      <c r="R39" s="6"/>
      <c r="S39" s="6">
        <f>23.591+190.891</f>
        <v>214.482</v>
      </c>
      <c r="T39" s="6">
        <f>24.565+193.835</f>
        <v>218.4</v>
      </c>
      <c r="U39" s="6"/>
      <c r="V39" s="6"/>
      <c r="W39" s="6"/>
      <c r="X39" s="6"/>
      <c r="Y39" s="6"/>
      <c r="Z39" s="6"/>
      <c r="AA39" s="17" t="s">
        <v>78</v>
      </c>
    </row>
    <row r="40" spans="2:28" s="5" customFormat="1" x14ac:dyDescent="0.2">
      <c r="B40" s="5" t="s">
        <v>42</v>
      </c>
      <c r="C40" s="6"/>
      <c r="D40" s="6"/>
      <c r="E40" s="6"/>
      <c r="F40" s="6"/>
      <c r="G40" s="6"/>
      <c r="H40" s="6"/>
      <c r="I40" s="6"/>
      <c r="J40" s="6"/>
      <c r="K40" s="6">
        <f>454.812+12.798</f>
        <v>467.61</v>
      </c>
      <c r="L40" s="6">
        <f>444.247+14.526</f>
        <v>458.77300000000002</v>
      </c>
      <c r="M40" s="6"/>
      <c r="N40" s="6"/>
      <c r="O40" s="6"/>
      <c r="P40" s="6"/>
      <c r="Q40" s="6"/>
      <c r="R40" s="6"/>
      <c r="S40" s="6">
        <f>767.474+26.191</f>
        <v>793.66500000000008</v>
      </c>
      <c r="T40" s="6">
        <f>801.562+14.049</f>
        <v>815.61099999999999</v>
      </c>
      <c r="U40" s="6"/>
      <c r="V40" s="6"/>
      <c r="W40" s="6"/>
      <c r="X40" s="6"/>
      <c r="Y40" s="6"/>
      <c r="Z40" s="6"/>
      <c r="AA40" s="17" t="s">
        <v>79</v>
      </c>
    </row>
    <row r="41" spans="2:28" s="5" customFormat="1" x14ac:dyDescent="0.2">
      <c r="B41" s="5" t="s">
        <v>4</v>
      </c>
      <c r="C41" s="6"/>
      <c r="D41" s="6"/>
      <c r="E41" s="6"/>
      <c r="F41" s="6"/>
      <c r="G41" s="6"/>
      <c r="H41" s="6"/>
      <c r="I41" s="6"/>
      <c r="J41" s="6"/>
      <c r="K41" s="6">
        <v>736.31799999999998</v>
      </c>
      <c r="L41" s="6">
        <v>737.16</v>
      </c>
      <c r="M41" s="6"/>
      <c r="N41" s="6"/>
      <c r="O41" s="6"/>
      <c r="P41" s="6"/>
      <c r="Q41" s="6"/>
      <c r="R41" s="6"/>
      <c r="S41" s="6">
        <v>743.08500000000004</v>
      </c>
      <c r="T41" s="6">
        <v>743.97</v>
      </c>
      <c r="U41" s="6"/>
      <c r="V41" s="6"/>
      <c r="W41" s="6"/>
      <c r="X41" s="6"/>
      <c r="Y41" s="6"/>
      <c r="Z41" s="6"/>
      <c r="AA41" s="6"/>
    </row>
    <row r="42" spans="2:28" s="5" customFormat="1" x14ac:dyDescent="0.2">
      <c r="B42" s="5" t="s">
        <v>39</v>
      </c>
      <c r="C42" s="6"/>
      <c r="D42" s="6"/>
      <c r="E42" s="6"/>
      <c r="F42" s="6"/>
      <c r="G42" s="6"/>
      <c r="H42" s="6"/>
      <c r="I42" s="6"/>
      <c r="J42" s="6"/>
      <c r="K42" s="6">
        <v>9.2530000000000001</v>
      </c>
      <c r="L42" s="6">
        <v>10.034000000000001</v>
      </c>
      <c r="M42" s="6"/>
      <c r="N42" s="6"/>
      <c r="O42" s="6"/>
      <c r="P42" s="6"/>
      <c r="Q42" s="6"/>
      <c r="R42" s="6"/>
      <c r="S42" s="6">
        <v>6.1509999999999998</v>
      </c>
      <c r="T42" s="6">
        <v>6.32</v>
      </c>
      <c r="U42" s="6"/>
      <c r="V42" s="6"/>
      <c r="W42" s="6"/>
      <c r="X42" s="6"/>
      <c r="Y42" s="6"/>
      <c r="Z42" s="6"/>
      <c r="AA42" s="6"/>
    </row>
    <row r="43" spans="2:28" s="5" customFormat="1" x14ac:dyDescent="0.2">
      <c r="B43" s="5" t="s">
        <v>43</v>
      </c>
      <c r="C43" s="6"/>
      <c r="D43" s="6"/>
      <c r="E43" s="6"/>
      <c r="F43" s="6"/>
      <c r="G43" s="6"/>
      <c r="H43" s="6"/>
      <c r="I43" s="6"/>
      <c r="J43" s="6"/>
      <c r="K43" s="6">
        <v>1116.857</v>
      </c>
      <c r="L43" s="6">
        <v>1215.1199999999999</v>
      </c>
      <c r="M43" s="6"/>
      <c r="N43" s="6"/>
      <c r="O43" s="6"/>
      <c r="P43" s="6"/>
      <c r="Q43" s="6"/>
      <c r="R43" s="6"/>
      <c r="S43" s="6">
        <v>2202.355</v>
      </c>
      <c r="T43" s="6">
        <v>2407.308</v>
      </c>
      <c r="U43" s="6"/>
      <c r="V43" s="6"/>
      <c r="W43" s="6"/>
      <c r="X43" s="6"/>
      <c r="Y43" s="6"/>
      <c r="Z43" s="6"/>
      <c r="AA43" s="6"/>
    </row>
    <row r="44" spans="2:28" s="5" customFormat="1" x14ac:dyDescent="0.2">
      <c r="B44" s="5" t="s">
        <v>44</v>
      </c>
      <c r="C44" s="6"/>
      <c r="D44" s="6"/>
      <c r="E44" s="6"/>
      <c r="F44" s="6"/>
      <c r="G44" s="6"/>
      <c r="H44" s="6"/>
      <c r="I44" s="6"/>
      <c r="J44" s="6"/>
      <c r="K44" s="6">
        <f>SUM(K37:K43)</f>
        <v>2529.0149999999999</v>
      </c>
      <c r="L44" s="6">
        <f>SUM(L37:L43)</f>
        <v>2654.4870000000001</v>
      </c>
      <c r="M44" s="6"/>
      <c r="N44" s="6"/>
      <c r="O44" s="6"/>
      <c r="P44" s="6"/>
      <c r="Q44" s="6"/>
      <c r="R44" s="6"/>
      <c r="S44" s="6">
        <f>SUM(S37:S43)</f>
        <v>4141.4660000000003</v>
      </c>
      <c r="T44" s="6">
        <f>SUM(T37:T43)</f>
        <v>4412.3909999999996</v>
      </c>
      <c r="U44" s="6"/>
      <c r="V44" s="6"/>
      <c r="W44" s="6"/>
      <c r="X44" s="6"/>
      <c r="Y44" s="6"/>
      <c r="Z44" s="6"/>
      <c r="AA44" s="6"/>
    </row>
    <row r="46" spans="2:28" s="5" customFormat="1" x14ac:dyDescent="0.2">
      <c r="B46" s="5" t="s">
        <v>48</v>
      </c>
      <c r="C46" s="6"/>
      <c r="D46" s="6"/>
      <c r="E46" s="6"/>
      <c r="F46" s="6"/>
      <c r="G46" s="6"/>
      <c r="H46" s="6"/>
      <c r="I46" s="6"/>
      <c r="J46" s="6"/>
      <c r="K46" s="6">
        <f>+K17</f>
        <v>9.7379999999999889</v>
      </c>
      <c r="L46" s="6"/>
      <c r="M46" s="6"/>
      <c r="N46" s="6"/>
      <c r="O46" s="6"/>
      <c r="P46" s="6"/>
      <c r="Q46" s="6"/>
      <c r="R46" s="6"/>
      <c r="S46" s="6">
        <f>+S17</f>
        <v>42.631000000000036</v>
      </c>
      <c r="T46" s="6">
        <f>+T17</f>
        <v>43.823999999999998</v>
      </c>
      <c r="U46" s="6"/>
      <c r="V46" s="6"/>
      <c r="W46" s="6"/>
      <c r="X46" s="6"/>
      <c r="Y46" s="6"/>
      <c r="Z46" s="6"/>
      <c r="AA46" s="6"/>
    </row>
    <row r="47" spans="2:28" s="5" customFormat="1" x14ac:dyDescent="0.2">
      <c r="B47" s="5" t="s">
        <v>49</v>
      </c>
      <c r="C47" s="6"/>
      <c r="D47" s="6"/>
      <c r="E47" s="6"/>
      <c r="F47" s="6"/>
      <c r="G47" s="6"/>
      <c r="H47" s="6"/>
      <c r="I47" s="6"/>
      <c r="J47" s="6"/>
      <c r="K47" s="6">
        <v>9.7379999999999995</v>
      </c>
      <c r="L47" s="6"/>
      <c r="M47" s="6"/>
      <c r="N47" s="6"/>
      <c r="O47" s="6"/>
      <c r="P47" s="6"/>
      <c r="Q47" s="6"/>
      <c r="R47" s="6"/>
      <c r="S47" s="6">
        <v>42.631</v>
      </c>
      <c r="T47" s="6"/>
      <c r="U47" s="6"/>
      <c r="V47" s="6"/>
      <c r="W47" s="6"/>
      <c r="X47" s="6"/>
      <c r="Y47" s="6"/>
      <c r="Z47" s="6"/>
      <c r="AA47" s="6"/>
    </row>
    <row r="48" spans="2:28" s="5" customFormat="1" x14ac:dyDescent="0.2">
      <c r="B48" s="5" t="s">
        <v>50</v>
      </c>
      <c r="C48" s="6"/>
      <c r="D48" s="6"/>
      <c r="E48" s="6"/>
      <c r="F48" s="6"/>
      <c r="G48" s="6"/>
      <c r="H48" s="6"/>
      <c r="I48" s="6"/>
      <c r="J48" s="6"/>
      <c r="K48" s="6">
        <v>7.3940000000000001</v>
      </c>
      <c r="L48" s="6"/>
      <c r="M48" s="6"/>
      <c r="N48" s="6"/>
      <c r="O48" s="6"/>
      <c r="P48" s="6"/>
      <c r="Q48" s="6"/>
      <c r="R48" s="6"/>
      <c r="S48" s="6">
        <v>12.895</v>
      </c>
      <c r="T48" s="6"/>
      <c r="U48" s="6"/>
      <c r="V48" s="6"/>
      <c r="W48" s="6"/>
      <c r="X48" s="6"/>
      <c r="Y48" s="6"/>
      <c r="Z48" s="6"/>
      <c r="AA48" s="6"/>
    </row>
    <row r="49" spans="2:27" s="5" customFormat="1" x14ac:dyDescent="0.2">
      <c r="B49" s="5" t="s">
        <v>51</v>
      </c>
      <c r="C49" s="6"/>
      <c r="D49" s="6"/>
      <c r="E49" s="6"/>
      <c r="F49" s="6"/>
      <c r="G49" s="6"/>
      <c r="H49" s="6"/>
      <c r="I49" s="6"/>
      <c r="J49" s="6"/>
      <c r="K49" s="6">
        <v>3.9590000000000001</v>
      </c>
      <c r="L49" s="6"/>
      <c r="M49" s="6"/>
      <c r="N49" s="6"/>
      <c r="O49" s="6"/>
      <c r="P49" s="6"/>
      <c r="Q49" s="6"/>
      <c r="R49" s="6"/>
      <c r="S49" s="6">
        <v>-14.125999999999999</v>
      </c>
      <c r="T49" s="6"/>
      <c r="U49" s="6"/>
      <c r="V49" s="6"/>
      <c r="W49" s="6"/>
      <c r="X49" s="6"/>
      <c r="Y49" s="6"/>
      <c r="Z49" s="6"/>
      <c r="AA49" s="6"/>
    </row>
    <row r="50" spans="2:27" s="5" customFormat="1" x14ac:dyDescent="0.2">
      <c r="B50" s="5" t="s">
        <v>52</v>
      </c>
      <c r="C50" s="6"/>
      <c r="D50" s="6"/>
      <c r="E50" s="6"/>
      <c r="F50" s="6"/>
      <c r="G50" s="6"/>
      <c r="H50" s="6"/>
      <c r="I50" s="6"/>
      <c r="J50" s="6"/>
      <c r="K50" s="6">
        <v>0.84</v>
      </c>
      <c r="L50" s="6"/>
      <c r="M50" s="6"/>
      <c r="N50" s="6"/>
      <c r="O50" s="6"/>
      <c r="P50" s="6"/>
      <c r="Q50" s="6"/>
      <c r="R50" s="6"/>
      <c r="S50" s="6">
        <v>0.85</v>
      </c>
      <c r="T50" s="6"/>
      <c r="U50" s="6"/>
      <c r="V50" s="6"/>
      <c r="W50" s="6"/>
      <c r="X50" s="6"/>
      <c r="Y50" s="6"/>
      <c r="Z50" s="6"/>
      <c r="AA50" s="6"/>
    </row>
    <row r="51" spans="2:27" s="5" customFormat="1" x14ac:dyDescent="0.2">
      <c r="B51" s="5" t="s">
        <v>53</v>
      </c>
      <c r="C51" s="6"/>
      <c r="D51" s="6"/>
      <c r="E51" s="6"/>
      <c r="F51" s="6"/>
      <c r="G51" s="6"/>
      <c r="H51" s="6"/>
      <c r="I51" s="6"/>
      <c r="J51" s="6"/>
      <c r="K51" s="6">
        <v>6.0220000000000002</v>
      </c>
      <c r="L51" s="6"/>
      <c r="M51" s="6"/>
      <c r="N51" s="6"/>
      <c r="O51" s="6"/>
      <c r="P51" s="6"/>
      <c r="Q51" s="6"/>
      <c r="R51" s="6"/>
      <c r="S51" s="6">
        <v>11.843999999999999</v>
      </c>
      <c r="T51" s="6"/>
      <c r="U51" s="6"/>
      <c r="V51" s="6"/>
      <c r="W51" s="6"/>
      <c r="X51" s="6"/>
      <c r="Y51" s="6"/>
      <c r="Z51" s="6"/>
      <c r="AA51" s="6"/>
    </row>
    <row r="52" spans="2:27" s="5" customFormat="1" x14ac:dyDescent="0.2">
      <c r="B52" s="5" t="s">
        <v>54</v>
      </c>
      <c r="C52" s="6"/>
      <c r="D52" s="6"/>
      <c r="E52" s="6"/>
      <c r="F52" s="6"/>
      <c r="G52" s="6"/>
      <c r="H52" s="6"/>
      <c r="I52" s="6"/>
      <c r="J52" s="6"/>
      <c r="K52" s="6">
        <v>66.884</v>
      </c>
      <c r="L52" s="6"/>
      <c r="M52" s="6"/>
      <c r="N52" s="6"/>
      <c r="O52" s="6"/>
      <c r="P52" s="6"/>
      <c r="Q52" s="6"/>
      <c r="R52" s="6"/>
      <c r="S52" s="6">
        <v>135.03299999999999</v>
      </c>
      <c r="T52" s="6"/>
      <c r="U52" s="6"/>
      <c r="V52" s="6"/>
      <c r="W52" s="6"/>
      <c r="X52" s="6"/>
      <c r="Y52" s="6"/>
      <c r="Z52" s="6"/>
      <c r="AA52" s="6"/>
    </row>
    <row r="53" spans="2:27" s="5" customFormat="1" x14ac:dyDescent="0.2">
      <c r="B53" s="5" t="s">
        <v>37</v>
      </c>
      <c r="C53" s="6"/>
      <c r="D53" s="6"/>
      <c r="E53" s="6"/>
      <c r="F53" s="6"/>
      <c r="G53" s="6"/>
      <c r="H53" s="6"/>
      <c r="I53" s="6"/>
      <c r="J53" s="6"/>
      <c r="K53" s="6">
        <v>4.4109999999999996</v>
      </c>
      <c r="L53" s="6"/>
      <c r="M53" s="6"/>
      <c r="N53" s="6"/>
      <c r="O53" s="6"/>
      <c r="P53" s="6"/>
      <c r="Q53" s="6"/>
      <c r="R53" s="6"/>
      <c r="S53" s="6">
        <v>6.81</v>
      </c>
      <c r="T53" s="6"/>
      <c r="U53" s="6"/>
      <c r="V53" s="6"/>
      <c r="W53" s="6"/>
      <c r="X53" s="6"/>
      <c r="Y53" s="6"/>
      <c r="Z53" s="6"/>
      <c r="AA53" s="6"/>
    </row>
    <row r="54" spans="2:27" s="5" customFormat="1" x14ac:dyDescent="0.2">
      <c r="B54" s="5" t="s">
        <v>33</v>
      </c>
      <c r="C54" s="6"/>
      <c r="D54" s="6"/>
      <c r="E54" s="6"/>
      <c r="F54" s="6"/>
      <c r="G54" s="6"/>
      <c r="H54" s="6"/>
      <c r="I54" s="6"/>
      <c r="J54" s="6"/>
      <c r="K54" s="6">
        <v>0.79800000000000004</v>
      </c>
      <c r="L54" s="6"/>
      <c r="M54" s="6"/>
      <c r="N54" s="6"/>
      <c r="O54" s="6"/>
      <c r="P54" s="6"/>
      <c r="Q54" s="6"/>
      <c r="R54" s="6"/>
      <c r="S54" s="6">
        <v>2.7320000000000002</v>
      </c>
      <c r="T54" s="6"/>
      <c r="U54" s="6"/>
      <c r="V54" s="6"/>
      <c r="W54" s="6"/>
      <c r="X54" s="6"/>
      <c r="Y54" s="6"/>
      <c r="Z54" s="6"/>
      <c r="AA54" s="6"/>
    </row>
    <row r="55" spans="2:27" s="5" customFormat="1" x14ac:dyDescent="0.2">
      <c r="B55" s="5" t="s">
        <v>55</v>
      </c>
      <c r="C55" s="6"/>
      <c r="D55" s="6"/>
      <c r="E55" s="6"/>
      <c r="F55" s="6"/>
      <c r="G55" s="6"/>
      <c r="H55" s="6"/>
      <c r="I55" s="6"/>
      <c r="J55" s="6"/>
      <c r="K55" s="6">
        <v>0.82299999999999995</v>
      </c>
      <c r="L55" s="6"/>
      <c r="M55" s="6"/>
      <c r="N55" s="6"/>
      <c r="O55" s="6"/>
      <c r="P55" s="6"/>
      <c r="Q55" s="6"/>
      <c r="R55" s="6"/>
      <c r="S55" s="6">
        <v>4.2999999999999997E-2</v>
      </c>
      <c r="T55" s="6"/>
      <c r="U55" s="6"/>
      <c r="V55" s="6"/>
      <c r="W55" s="6"/>
      <c r="X55" s="6"/>
      <c r="Y55" s="6"/>
      <c r="Z55" s="6"/>
      <c r="AA55" s="6"/>
    </row>
    <row r="56" spans="2:27" s="5" customFormat="1" x14ac:dyDescent="0.2">
      <c r="B56" s="5" t="s">
        <v>56</v>
      </c>
      <c r="C56" s="6"/>
      <c r="D56" s="6"/>
      <c r="E56" s="6"/>
      <c r="F56" s="6"/>
      <c r="G56" s="6"/>
      <c r="H56" s="6"/>
      <c r="I56" s="6"/>
      <c r="J56" s="6"/>
      <c r="K56" s="6">
        <f>-7.319-8.166-8.391-0.805-7.624-2.911+81.735</f>
        <v>46.518999999999998</v>
      </c>
      <c r="L56" s="6"/>
      <c r="M56" s="6"/>
      <c r="N56" s="6"/>
      <c r="O56" s="6"/>
      <c r="P56" s="6"/>
      <c r="Q56" s="6"/>
      <c r="R56" s="6"/>
      <c r="S56" s="6">
        <f>55.49-12.636-14.075+2.614-17.122-7.433+6.72</f>
        <v>13.558</v>
      </c>
      <c r="T56" s="6"/>
      <c r="U56" s="6"/>
      <c r="V56" s="6"/>
      <c r="W56" s="6"/>
      <c r="X56" s="6"/>
      <c r="Y56" s="6"/>
      <c r="Z56" s="6"/>
      <c r="AA56" s="6"/>
    </row>
    <row r="57" spans="2:27" s="5" customFormat="1" x14ac:dyDescent="0.2">
      <c r="B57" s="5" t="s">
        <v>57</v>
      </c>
      <c r="C57" s="6"/>
      <c r="D57" s="6"/>
      <c r="E57" s="6"/>
      <c r="F57" s="6"/>
      <c r="G57" s="6"/>
      <c r="H57" s="6"/>
      <c r="I57" s="6"/>
      <c r="J57" s="6"/>
      <c r="K57" s="6">
        <f>SUM(K47:K56)</f>
        <v>147.38799999999998</v>
      </c>
      <c r="L57" s="6"/>
      <c r="M57" s="6"/>
      <c r="N57" s="6"/>
      <c r="O57" s="6"/>
      <c r="P57" s="6"/>
      <c r="Q57" s="6">
        <v>439.72800000000001</v>
      </c>
      <c r="R57" s="6"/>
      <c r="S57" s="6">
        <f>SUM(S47:S56)</f>
        <v>212.26999999999998</v>
      </c>
      <c r="T57" s="6">
        <f>376-S57</f>
        <v>163.73000000000002</v>
      </c>
      <c r="U57" s="6"/>
      <c r="V57" s="6"/>
      <c r="W57" s="6"/>
      <c r="X57" s="6"/>
      <c r="Y57" s="6"/>
      <c r="Z57" s="6"/>
      <c r="AA57" s="6"/>
    </row>
  </sheetData>
  <hyperlinks>
    <hyperlink ref="A1" location="Main!A1" display="Main" xr:uid="{0C2CB192-972E-49C2-986E-DB4F425D454A}"/>
  </hyperlink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Shkreli</dc:creator>
  <cp:lastModifiedBy>Jefferson Hwang</cp:lastModifiedBy>
  <dcterms:created xsi:type="dcterms:W3CDTF">2022-09-02T02:52:19Z</dcterms:created>
  <dcterms:modified xsi:type="dcterms:W3CDTF">2025-10-15T03:36:56Z</dcterms:modified>
</cp:coreProperties>
</file>