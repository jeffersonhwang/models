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ffe\Documents\GitHub\martinshkreli-models\"/>
    </mc:Choice>
  </mc:AlternateContent>
  <xr:revisionPtr revIDLastSave="0" documentId="13_ncr:1_{7440A42D-356C-497D-A741-4DFEFB868B20}" xr6:coauthVersionLast="47" xr6:coauthVersionMax="47" xr10:uidLastSave="{00000000-0000-0000-0000-000000000000}"/>
  <bookViews>
    <workbookView xWindow="18510" yWindow="90" windowWidth="21915" windowHeight="20805" activeTab="1" xr2:uid="{04F796B3-9D76-4BC0-BCDC-4708D1ACB929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K3" i="2" l="1"/>
  <c r="AA13" i="2"/>
  <c r="AA10" i="2"/>
  <c r="AA21" i="2"/>
  <c r="AA19" i="2"/>
  <c r="AA16" i="2"/>
  <c r="AA15" i="2"/>
  <c r="AA20" i="2" s="1"/>
  <c r="AA22" i="2" s="1"/>
  <c r="AA24" i="2" s="1"/>
  <c r="AA25" i="2" s="1"/>
  <c r="AA14" i="2"/>
  <c r="AR6" i="2"/>
  <c r="AS6" i="2"/>
  <c r="AT6" i="2"/>
  <c r="AU6" i="2"/>
  <c r="AV6" i="2"/>
  <c r="AW6" i="2"/>
  <c r="AX6" i="2"/>
  <c r="AY6" i="2"/>
  <c r="AZ6" i="2"/>
  <c r="BA6" i="2"/>
  <c r="BB6" i="2"/>
  <c r="BC6" i="2"/>
  <c r="BD6" i="2"/>
  <c r="BE6" i="2"/>
  <c r="BF6" i="2"/>
  <c r="BG6" i="2"/>
  <c r="BH6" i="2"/>
  <c r="BI6" i="2"/>
  <c r="AQ6" i="2"/>
  <c r="AJ7" i="2"/>
  <c r="L5" i="1" l="1"/>
  <c r="L6" i="1"/>
  <c r="AE6" i="2" l="1"/>
  <c r="AF6" i="2"/>
  <c r="AG6" i="2"/>
  <c r="AH6" i="2"/>
  <c r="AI6" i="2"/>
  <c r="AH3" i="2"/>
  <c r="AH4" i="2"/>
  <c r="AH5" i="2"/>
  <c r="AJ6" i="2"/>
  <c r="AK6" i="2"/>
  <c r="AK4" i="2"/>
  <c r="AK5" i="2"/>
  <c r="AC1" i="2"/>
  <c r="AJ4" i="2"/>
  <c r="AI4" i="2"/>
  <c r="AI3" i="2"/>
  <c r="AJ3" i="2"/>
  <c r="AJ5" i="2"/>
  <c r="AI5" i="2"/>
  <c r="S28" i="2"/>
  <c r="V28" i="2"/>
  <c r="U28" i="2"/>
  <c r="R21" i="2"/>
  <c r="R23" i="2"/>
  <c r="R18" i="2"/>
  <c r="R17" i="2"/>
  <c r="R16" i="2"/>
  <c r="R26" i="2"/>
  <c r="Q25" i="2"/>
  <c r="Q26" i="2"/>
  <c r="Q24" i="2"/>
  <c r="Q22" i="2"/>
  <c r="Q21" i="2"/>
  <c r="Q20" i="2"/>
  <c r="Q19" i="2"/>
  <c r="Q15" i="2"/>
  <c r="P23" i="2"/>
  <c r="O25" i="2"/>
  <c r="P26" i="2"/>
  <c r="O26" i="2"/>
  <c r="O24" i="2"/>
  <c r="O22" i="2"/>
  <c r="O21" i="2"/>
  <c r="O20" i="2"/>
  <c r="O19" i="2"/>
  <c r="O15" i="2"/>
  <c r="R14" i="2"/>
  <c r="R12" i="2"/>
  <c r="R11" i="2"/>
  <c r="Z28" i="2"/>
  <c r="V25" i="2"/>
  <c r="V26" i="2"/>
  <c r="V24" i="2"/>
  <c r="V23" i="2"/>
  <c r="V22" i="2"/>
  <c r="V21" i="2"/>
  <c r="V20" i="2"/>
  <c r="V19" i="2"/>
  <c r="V18" i="2"/>
  <c r="V17" i="2"/>
  <c r="V16" i="2"/>
  <c r="V14" i="2"/>
  <c r="V12" i="2"/>
  <c r="V11" i="2"/>
  <c r="V13" i="2" s="1"/>
  <c r="Y26" i="2"/>
  <c r="X26" i="2"/>
  <c r="W26" i="2"/>
  <c r="U26" i="2"/>
  <c r="U25" i="2" s="1"/>
  <c r="T26" i="2"/>
  <c r="S26" i="2"/>
  <c r="S25" i="2" s="1"/>
  <c r="Z25" i="2"/>
  <c r="Z24" i="2"/>
  <c r="Z22" i="2"/>
  <c r="Z21" i="2"/>
  <c r="Z20" i="2"/>
  <c r="Z19" i="2"/>
  <c r="AA28" i="2"/>
  <c r="Y28" i="2"/>
  <c r="X28" i="2"/>
  <c r="U24" i="2"/>
  <c r="U21" i="2"/>
  <c r="U22" i="2"/>
  <c r="U20" i="2"/>
  <c r="U19" i="2"/>
  <c r="Y21" i="2"/>
  <c r="Y20" i="2"/>
  <c r="Y22" i="2" s="1"/>
  <c r="Y24" i="2" s="1"/>
  <c r="Y25" i="2" s="1"/>
  <c r="Y19" i="2"/>
  <c r="X22" i="2"/>
  <c r="X24" i="2" s="1"/>
  <c r="X21" i="2"/>
  <c r="X20" i="2"/>
  <c r="X19" i="2"/>
  <c r="W28" i="2"/>
  <c r="W25" i="2"/>
  <c r="W24" i="2"/>
  <c r="S24" i="2"/>
  <c r="W22" i="2"/>
  <c r="S22" i="2"/>
  <c r="W21" i="2"/>
  <c r="S21" i="2"/>
  <c r="W20" i="2"/>
  <c r="W19" i="2"/>
  <c r="S20" i="2"/>
  <c r="S19" i="2"/>
  <c r="S15" i="2"/>
  <c r="Z13" i="2"/>
  <c r="Z15" i="2" s="1"/>
  <c r="Y13" i="2"/>
  <c r="Y15" i="2" s="1"/>
  <c r="X13" i="2"/>
  <c r="X15" i="2" s="1"/>
  <c r="U13" i="2"/>
  <c r="U15" i="2" s="1"/>
  <c r="W15" i="2"/>
  <c r="W14" i="2"/>
  <c r="W13" i="2"/>
  <c r="T71" i="2"/>
  <c r="T69" i="2"/>
  <c r="T64" i="2"/>
  <c r="T63" i="2"/>
  <c r="T62" i="2"/>
  <c r="T58" i="2"/>
  <c r="T59" i="2" s="1"/>
  <c r="T44" i="2"/>
  <c r="T43" i="2"/>
  <c r="T48" i="2" s="1"/>
  <c r="T32" i="2"/>
  <c r="T30" i="2"/>
  <c r="T39" i="2"/>
  <c r="T36" i="2"/>
  <c r="P21" i="2"/>
  <c r="T21" i="2"/>
  <c r="P19" i="2"/>
  <c r="T19" i="2"/>
  <c r="S13" i="2"/>
  <c r="Q13" i="2"/>
  <c r="P13" i="2"/>
  <c r="P15" i="2" s="1"/>
  <c r="O13" i="2"/>
  <c r="N13" i="2"/>
  <c r="M13" i="2"/>
  <c r="L13" i="2"/>
  <c r="T13" i="2"/>
  <c r="T28" i="2" s="1"/>
  <c r="K11" i="2"/>
  <c r="K13" i="2" s="1"/>
  <c r="G11" i="2"/>
  <c r="G13" i="2" s="1"/>
  <c r="G15" i="2" s="1"/>
  <c r="K69" i="2"/>
  <c r="K63" i="2"/>
  <c r="K64" i="2" s="1"/>
  <c r="K58" i="2"/>
  <c r="K59" i="2" s="1"/>
  <c r="K45" i="2"/>
  <c r="K44" i="2"/>
  <c r="K43" i="2"/>
  <c r="K36" i="2"/>
  <c r="K30" i="2"/>
  <c r="K32" i="2"/>
  <c r="G21" i="2"/>
  <c r="G19" i="2"/>
  <c r="K21" i="2"/>
  <c r="K19" i="2"/>
  <c r="K14" i="2"/>
  <c r="L4" i="1"/>
  <c r="L7" i="1" s="1"/>
  <c r="AK7" i="2" l="1"/>
  <c r="AL5" i="2"/>
  <c r="R19" i="2"/>
  <c r="R13" i="2"/>
  <c r="R15" i="2" s="1"/>
  <c r="V15" i="2"/>
  <c r="X25" i="2"/>
  <c r="T15" i="2"/>
  <c r="T20" i="2" s="1"/>
  <c r="T22" i="2" s="1"/>
  <c r="T24" i="2" s="1"/>
  <c r="P20" i="2"/>
  <c r="P22" i="2" s="1"/>
  <c r="P24" i="2" s="1"/>
  <c r="P25" i="2" s="1"/>
  <c r="K15" i="2"/>
  <c r="K20" i="2" s="1"/>
  <c r="K22" i="2" s="1"/>
  <c r="K24" i="2" s="1"/>
  <c r="K25" i="2" s="1"/>
  <c r="K28" i="2"/>
  <c r="K71" i="2"/>
  <c r="K39" i="2"/>
  <c r="K48" i="2"/>
  <c r="G20" i="2"/>
  <c r="G22" i="2" s="1"/>
  <c r="G24" i="2" s="1"/>
  <c r="G25" i="2" s="1"/>
  <c r="AL7" i="2" l="1"/>
  <c r="AM5" i="2"/>
  <c r="R20" i="2"/>
  <c r="R22" i="2" s="1"/>
  <c r="R24" i="2" s="1"/>
  <c r="R25" i="2" s="1"/>
  <c r="T25" i="2"/>
  <c r="T51" i="2"/>
  <c r="K51" i="2"/>
  <c r="AM7" i="2" l="1"/>
  <c r="AN5" i="2"/>
  <c r="AN7" i="2" l="1"/>
  <c r="AO5" i="2"/>
  <c r="AO7" i="2" l="1"/>
  <c r="AP5" i="2"/>
  <c r="AP7" i="2" l="1"/>
  <c r="AQ5" i="2"/>
  <c r="AQ7" i="2" l="1"/>
  <c r="AR5" i="2"/>
  <c r="AR7" i="2" l="1"/>
  <c r="AS5" i="2"/>
  <c r="AS7" i="2" l="1"/>
  <c r="AT5" i="2"/>
  <c r="AU5" i="2" l="1"/>
  <c r="AT7" i="2"/>
  <c r="AU7" i="2" l="1"/>
  <c r="AV5" i="2"/>
  <c r="AV7" i="2" l="1"/>
  <c r="AW5" i="2"/>
  <c r="AW7" i="2" l="1"/>
  <c r="AX5" i="2"/>
  <c r="AX7" i="2" l="1"/>
  <c r="AY5" i="2"/>
  <c r="AY7" i="2" l="1"/>
  <c r="AZ5" i="2"/>
  <c r="AZ7" i="2" l="1"/>
  <c r="BA5" i="2"/>
  <c r="BA7" i="2" l="1"/>
  <c r="BB5" i="2"/>
  <c r="BB7" i="2" l="1"/>
  <c r="BC5" i="2"/>
  <c r="BC7" i="2" l="1"/>
  <c r="BD5" i="2"/>
  <c r="BD7" i="2" l="1"/>
  <c r="BE5" i="2"/>
  <c r="BE7" i="2" l="1"/>
  <c r="BF5" i="2"/>
  <c r="BG5" i="2" l="1"/>
  <c r="BF7" i="2"/>
  <c r="BH5" i="2" l="1"/>
  <c r="BG7" i="2"/>
  <c r="BI5" i="2" l="1"/>
  <c r="BI7" i="2" s="1"/>
  <c r="BH7" i="2"/>
  <c r="AM19" i="2" l="1"/>
  <c r="AM22" i="2" s="1"/>
  <c r="AM2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tc={87B9C53B-7C12-4514-9D95-493861D69A0F}</author>
    <author>Jefferson Hwang</author>
  </authors>
  <commentList>
    <comment ref="L11" authorId="0" shapeId="0" xr:uid="{87B9C53B-7C12-4514-9D95-493861D69A0F}">
      <text>
        <t>[Threaded comment]
Your version of Excel allows you to read this threaded comment; however, any edits to it will get removed if the file is opened in a newer version of Excel. Learn more: https://go.microsoft.com/fwlink/?linkid=870924
Comment:
    Q122 guidance: 1670-1675</t>
      </text>
    </comment>
    <comment ref="T30" authorId="1" shapeId="0" xr:uid="{99157E34-A813-4064-9682-62ACF4183C66}">
      <text>
        <r>
          <rPr>
            <sz val="9"/>
            <color indexed="81"/>
            <rFont val="Tahoma"/>
            <family val="2"/>
          </rPr>
          <t xml:space="preserve">Cash + Short term + Long term investments </t>
        </r>
      </text>
    </comment>
    <comment ref="T32" authorId="1" shapeId="0" xr:uid="{61440A12-6297-46B2-B4A8-98CF910DF519}">
      <text>
        <r>
          <rPr>
            <b/>
            <sz val="9"/>
            <color indexed="81"/>
            <rFont val="Tahoma"/>
            <family val="2"/>
          </rPr>
          <t>current + deferred</t>
        </r>
      </text>
    </comment>
  </commentList>
</comments>
</file>

<file path=xl/sharedStrings.xml><?xml version="1.0" encoding="utf-8"?>
<sst xmlns="http://schemas.openxmlformats.org/spreadsheetml/2006/main" count="129" uniqueCount="117">
  <si>
    <t>Price</t>
  </si>
  <si>
    <t>Shares</t>
  </si>
  <si>
    <t>MC</t>
  </si>
  <si>
    <t>Cash</t>
  </si>
  <si>
    <t>Debt</t>
  </si>
  <si>
    <t>EV</t>
  </si>
  <si>
    <t>Q122</t>
  </si>
  <si>
    <t>Main</t>
  </si>
  <si>
    <t>Revenue</t>
  </si>
  <si>
    <t>Q120</t>
  </si>
  <si>
    <t>Q220</t>
  </si>
  <si>
    <t>Q320</t>
  </si>
  <si>
    <t>Q420</t>
  </si>
  <si>
    <t>Q121</t>
  </si>
  <si>
    <t>Q221</t>
  </si>
  <si>
    <t>Q321</t>
  </si>
  <si>
    <t>Q421</t>
  </si>
  <si>
    <t>Q222</t>
  </si>
  <si>
    <t>Q322</t>
  </si>
  <si>
    <t>Q422</t>
  </si>
  <si>
    <t>Subscription</t>
  </si>
  <si>
    <t>Services</t>
  </si>
  <si>
    <t>COGS</t>
  </si>
  <si>
    <t>Gross Margin</t>
  </si>
  <si>
    <t>S&amp;M</t>
  </si>
  <si>
    <t>R&amp;D</t>
  </si>
  <si>
    <t>G&amp;A</t>
  </si>
  <si>
    <t>OpEx</t>
  </si>
  <si>
    <t>OpInc</t>
  </si>
  <si>
    <t>EPS</t>
  </si>
  <si>
    <t>Net Income</t>
  </si>
  <si>
    <t>Taxes</t>
  </si>
  <si>
    <t>Pretax</t>
  </si>
  <si>
    <t>Interest</t>
  </si>
  <si>
    <t>AR</t>
  </si>
  <si>
    <t>Commissions</t>
  </si>
  <si>
    <t>Assets</t>
  </si>
  <si>
    <t>Prepaid</t>
  </si>
  <si>
    <t>PP&amp;E</t>
  </si>
  <si>
    <t>Lease</t>
  </si>
  <si>
    <t>Intangibles</t>
  </si>
  <si>
    <t>Other</t>
  </si>
  <si>
    <t>L+SE</t>
  </si>
  <si>
    <t>SE</t>
  </si>
  <si>
    <t>AP</t>
  </si>
  <si>
    <t>Accrued Expenses</t>
  </si>
  <si>
    <t>DR</t>
  </si>
  <si>
    <t>OLTL</t>
  </si>
  <si>
    <t>Revenue Growth</t>
  </si>
  <si>
    <t>Model NI</t>
  </si>
  <si>
    <t>Reported NI</t>
  </si>
  <si>
    <t>D&amp;A</t>
  </si>
  <si>
    <t>Amortization of DC</t>
  </si>
  <si>
    <t>SBC</t>
  </si>
  <si>
    <t>WC</t>
  </si>
  <si>
    <t>CFFO</t>
  </si>
  <si>
    <t>CapEx</t>
  </si>
  <si>
    <t>Investments</t>
  </si>
  <si>
    <t>CFFI</t>
  </si>
  <si>
    <t>Converts</t>
  </si>
  <si>
    <t>ESOP</t>
  </si>
  <si>
    <t>CFFF</t>
  </si>
  <si>
    <t>FX</t>
  </si>
  <si>
    <t>CIC</t>
  </si>
  <si>
    <t>Technology</t>
  </si>
  <si>
    <t>Employee</t>
  </si>
  <si>
    <t>Consumer</t>
  </si>
  <si>
    <t>Creator</t>
  </si>
  <si>
    <t>NorthAm</t>
  </si>
  <si>
    <t>EMEA</t>
  </si>
  <si>
    <t>APAC</t>
  </si>
  <si>
    <t>Digital workflow</t>
  </si>
  <si>
    <t>ITOM</t>
  </si>
  <si>
    <t>Digital Workflow</t>
  </si>
  <si>
    <t>Now Platform</t>
  </si>
  <si>
    <t>IT Service Management</t>
  </si>
  <si>
    <t>IT Business Management</t>
  </si>
  <si>
    <t>IT Asset Management</t>
  </si>
  <si>
    <t>Security Operations</t>
  </si>
  <si>
    <t>Governance</t>
  </si>
  <si>
    <t>Risk &amp; Compliance</t>
  </si>
  <si>
    <t>HR Service Delivery</t>
  </si>
  <si>
    <t>Safe Workplace</t>
  </si>
  <si>
    <t>Workplace Service Delivery</t>
  </si>
  <si>
    <t>Legal Service Delivery</t>
  </si>
  <si>
    <t>Customer Service Management</t>
  </si>
  <si>
    <t>Field Service Management</t>
  </si>
  <si>
    <t>Industry Solutions</t>
  </si>
  <si>
    <t>App Engine</t>
  </si>
  <si>
    <t>IntegrationHub</t>
  </si>
  <si>
    <t>RPO</t>
  </si>
  <si>
    <t>CEO: Bill McDermott</t>
  </si>
  <si>
    <t>cRPO</t>
  </si>
  <si>
    <t>Q123</t>
  </si>
  <si>
    <t>Q223</t>
  </si>
  <si>
    <t>Q323</t>
  </si>
  <si>
    <t>Q423</t>
  </si>
  <si>
    <t>Q124</t>
  </si>
  <si>
    <t>Q224</t>
  </si>
  <si>
    <t>Q324</t>
  </si>
  <si>
    <t>Q424</t>
  </si>
  <si>
    <t>Acquisitions</t>
  </si>
  <si>
    <t>Q125</t>
  </si>
  <si>
    <t>Q225</t>
  </si>
  <si>
    <t>Q325</t>
  </si>
  <si>
    <t>Q425</t>
  </si>
  <si>
    <t>Q126</t>
  </si>
  <si>
    <t>Revenue YOY</t>
  </si>
  <si>
    <t>Sub Revenue</t>
  </si>
  <si>
    <t>Pro Revenue</t>
  </si>
  <si>
    <t>NPV</t>
  </si>
  <si>
    <t>Discount</t>
  </si>
  <si>
    <t>Terminal</t>
  </si>
  <si>
    <t>Share</t>
  </si>
  <si>
    <t>Upside</t>
  </si>
  <si>
    <t>FCF</t>
  </si>
  <si>
    <t>FCF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</si>
</sst>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(&quot;$&quot;* #,##0.00_);_(&quot;$&quot;* \(#,##0.00\);_(&quot;$&quot;* &quot;-&quot;??_);_(@_)"/>
  </numFmts>
  <fonts count="9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15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0" fontId="2" fillId="0" borderId="0" xfId="1"/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9" fontId="0" fillId="0" borderId="0" xfId="0" applyNumberFormat="1" applyAlignment="1">
      <alignment horizontal="right"/>
    </xf>
    <xf numFmtId="0" fontId="3" fillId="0" borderId="0" xfId="0" applyFont="1"/>
    <xf numFmtId="9" fontId="0" fillId="0" borderId="0" xfId="0" applyNumberFormat="1"/>
    <xf numFmtId="9" fontId="0" fillId="0" borderId="0" xfId="2" applyFont="1"/>
    <xf numFmtId="3" fontId="8" fillId="0" borderId="0" xfId="0" applyNumberFormat="1" applyFont="1"/>
    <xf numFmtId="44" fontId="0" fillId="0" borderId="0" xfId="3" applyFont="1"/>
  </cellXfs>
  <cellStyles count="4">
    <cellStyle name="Currency" xfId="3" builtinId="4"/>
    <cellStyle name="Hyperlink" xfId="1" builtinId="8"/>
    <cellStyle name="Normal" xfId="0" builtinId="0"/>
    <cellStyle name="Percent" xfId="2" builtinId="5"/>
  </cellStyles>
  <dxfs count="0"/>
  <tableStyles count="1" defaultTableStyle="TableStyleMedium2" defaultPivotStyle="PivotStyleLight16">
    <tableStyle name="Invisible" pivot="0" table="0" count="0" xr9:uid="{386E31FD-1719-462D-A463-AC7363BFC89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46265</xdr:colOff>
      <xdr:row>0</xdr:row>
      <xdr:rowOff>104775</xdr:rowOff>
    </xdr:from>
    <xdr:to>
      <xdr:col>20</xdr:col>
      <xdr:colOff>46265</xdr:colOff>
      <xdr:row>76</xdr:row>
      <xdr:rowOff>55790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1AA7940-E596-AAAB-B1AC-1E5874FAAF5A}"/>
            </a:ext>
          </a:extLst>
        </xdr:cNvPr>
        <xdr:cNvCxnSpPr/>
      </xdr:nvCxnSpPr>
      <xdr:spPr>
        <a:xfrm>
          <a:off x="12477751" y="104775"/>
          <a:ext cx="0" cy="1236072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6895C20F-8AD2-445D-89EB-074DE7D08C7E}" userId="9ffda80931a57275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1" dT="2022-07-26T03:20:09.97" personId="{6895C20F-8AD2-445D-89EB-074DE7D08C7E}" id="{87B9C53B-7C12-4514-9D95-493861D69A0F}">
    <text>Q122 guidance: 1670-1675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29079-183A-4E00-8AC0-8BABADD9CBE7}">
  <dimension ref="B2:M24"/>
  <sheetViews>
    <sheetView topLeftCell="E1" zoomScale="190" zoomScaleNormal="190" workbookViewId="0">
      <selection activeCell="J12" sqref="J12"/>
    </sheetView>
  </sheetViews>
  <sheetFormatPr defaultRowHeight="12.75" x14ac:dyDescent="0.2"/>
  <sheetData>
    <row r="2" spans="2:13" x14ac:dyDescent="0.2">
      <c r="B2" t="s">
        <v>64</v>
      </c>
      <c r="K2" t="s">
        <v>0</v>
      </c>
      <c r="L2" s="1">
        <v>89.32</v>
      </c>
    </row>
    <row r="3" spans="2:13" x14ac:dyDescent="0.2">
      <c r="B3" t="s">
        <v>65</v>
      </c>
      <c r="K3" t="s">
        <v>1</v>
      </c>
      <c r="L3" s="2">
        <v>1039</v>
      </c>
      <c r="M3" s="3" t="s">
        <v>106</v>
      </c>
    </row>
    <row r="4" spans="2:13" x14ac:dyDescent="0.2">
      <c r="B4" t="s">
        <v>66</v>
      </c>
      <c r="K4" t="s">
        <v>2</v>
      </c>
      <c r="L4" s="2">
        <f>+L2*L3</f>
        <v>92803.48</v>
      </c>
    </row>
    <row r="5" spans="2:13" x14ac:dyDescent="0.2">
      <c r="B5" t="s">
        <v>67</v>
      </c>
      <c r="K5" t="s">
        <v>3</v>
      </c>
      <c r="L5" s="2">
        <f>3726+2558+2627</f>
        <v>8911</v>
      </c>
      <c r="M5" s="3" t="s">
        <v>106</v>
      </c>
    </row>
    <row r="6" spans="2:13" x14ac:dyDescent="0.2">
      <c r="K6" t="s">
        <v>4</v>
      </c>
      <c r="L6" s="2">
        <f>204+1813+1491+220</f>
        <v>3728</v>
      </c>
      <c r="M6" s="3" t="s">
        <v>106</v>
      </c>
    </row>
    <row r="7" spans="2:13" x14ac:dyDescent="0.2">
      <c r="K7" t="s">
        <v>5</v>
      </c>
      <c r="L7" s="2">
        <f>+L4-L5+L6</f>
        <v>87620.479999999996</v>
      </c>
      <c r="M7" s="3"/>
    </row>
    <row r="8" spans="2:13" x14ac:dyDescent="0.2">
      <c r="B8" s="10" t="s">
        <v>73</v>
      </c>
    </row>
    <row r="9" spans="2:13" x14ac:dyDescent="0.2">
      <c r="B9" t="s">
        <v>74</v>
      </c>
    </row>
    <row r="10" spans="2:13" x14ac:dyDescent="0.2">
      <c r="B10" t="s">
        <v>75</v>
      </c>
      <c r="K10" t="s">
        <v>91</v>
      </c>
    </row>
    <row r="11" spans="2:13" x14ac:dyDescent="0.2">
      <c r="B11" t="s">
        <v>76</v>
      </c>
    </row>
    <row r="12" spans="2:13" x14ac:dyDescent="0.2">
      <c r="B12" t="s">
        <v>77</v>
      </c>
    </row>
    <row r="13" spans="2:13" x14ac:dyDescent="0.2">
      <c r="B13" t="s">
        <v>78</v>
      </c>
    </row>
    <row r="14" spans="2:13" x14ac:dyDescent="0.2">
      <c r="B14" t="s">
        <v>79</v>
      </c>
    </row>
    <row r="15" spans="2:13" x14ac:dyDescent="0.2">
      <c r="B15" t="s">
        <v>80</v>
      </c>
    </row>
    <row r="16" spans="2:13" x14ac:dyDescent="0.2">
      <c r="B16" t="s">
        <v>81</v>
      </c>
    </row>
    <row r="17" spans="2:2" x14ac:dyDescent="0.2">
      <c r="B17" t="s">
        <v>82</v>
      </c>
    </row>
    <row r="18" spans="2:2" x14ac:dyDescent="0.2">
      <c r="B18" t="s">
        <v>83</v>
      </c>
    </row>
    <row r="19" spans="2:2" x14ac:dyDescent="0.2">
      <c r="B19" t="s">
        <v>84</v>
      </c>
    </row>
    <row r="20" spans="2:2" x14ac:dyDescent="0.2">
      <c r="B20" t="s">
        <v>85</v>
      </c>
    </row>
    <row r="21" spans="2:2" x14ac:dyDescent="0.2">
      <c r="B21" t="s">
        <v>86</v>
      </c>
    </row>
    <row r="22" spans="2:2" x14ac:dyDescent="0.2">
      <c r="B22" t="s">
        <v>87</v>
      </c>
    </row>
    <row r="23" spans="2:2" x14ac:dyDescent="0.2">
      <c r="B23" t="s">
        <v>88</v>
      </c>
    </row>
    <row r="24" spans="2:2" x14ac:dyDescent="0.2">
      <c r="B24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D2949-B187-4CCE-8902-FF8193720176}">
  <dimension ref="A1:BI71"/>
  <sheetViews>
    <sheetView tabSelected="1" zoomScale="175" zoomScaleNormal="175" workbookViewId="0">
      <pane xSplit="2" ySplit="2" topLeftCell="AJ3" activePane="bottomRight" state="frozen"/>
      <selection pane="topRight" activeCell="C1" sqref="C1"/>
      <selection pane="bottomLeft" activeCell="A3" sqref="A3"/>
      <selection pane="bottomRight" activeCell="AQ19" sqref="AQ19"/>
    </sheetView>
  </sheetViews>
  <sheetFormatPr defaultRowHeight="12.75" x14ac:dyDescent="0.2"/>
  <cols>
    <col min="1" max="1" width="5" bestFit="1" customWidth="1"/>
    <col min="2" max="2" width="16.85546875" bestFit="1" customWidth="1"/>
    <col min="3" max="14" width="9.140625" style="3"/>
    <col min="29" max="29" width="12.5703125" bestFit="1" customWidth="1"/>
    <col min="39" max="39" width="10.7109375" bestFit="1" customWidth="1"/>
  </cols>
  <sheetData>
    <row r="1" spans="1:61" x14ac:dyDescent="0.2">
      <c r="A1" s="6" t="s">
        <v>7</v>
      </c>
      <c r="AC1" s="12">
        <f>AJ3/AJ5</f>
        <v>0.97025154390721491</v>
      </c>
    </row>
    <row r="2" spans="1:61" x14ac:dyDescent="0.2"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  <c r="J2" s="3" t="s">
        <v>16</v>
      </c>
      <c r="K2" s="3" t="s">
        <v>6</v>
      </c>
      <c r="L2" s="3" t="s">
        <v>17</v>
      </c>
      <c r="M2" s="3" t="s">
        <v>18</v>
      </c>
      <c r="N2" s="3" t="s">
        <v>19</v>
      </c>
      <c r="O2" s="3" t="s">
        <v>93</v>
      </c>
      <c r="P2" s="3" t="s">
        <v>94</v>
      </c>
      <c r="Q2" s="3" t="s">
        <v>95</v>
      </c>
      <c r="R2" s="3" t="s">
        <v>96</v>
      </c>
      <c r="S2" s="3" t="s">
        <v>97</v>
      </c>
      <c r="T2" s="3" t="s">
        <v>98</v>
      </c>
      <c r="U2" s="3" t="s">
        <v>99</v>
      </c>
      <c r="V2" s="3" t="s">
        <v>100</v>
      </c>
      <c r="W2" s="3" t="s">
        <v>102</v>
      </c>
      <c r="X2" s="3" t="s">
        <v>103</v>
      </c>
      <c r="Y2" s="3" t="s">
        <v>104</v>
      </c>
      <c r="Z2" s="3" t="s">
        <v>105</v>
      </c>
      <c r="AA2" s="3" t="s">
        <v>106</v>
      </c>
      <c r="AD2">
        <v>2019</v>
      </c>
      <c r="AE2">
        <v>2020</v>
      </c>
      <c r="AF2">
        <v>2021</v>
      </c>
      <c r="AG2">
        <v>2022</v>
      </c>
      <c r="AH2">
        <v>2023</v>
      </c>
      <c r="AI2">
        <v>2024</v>
      </c>
      <c r="AJ2">
        <v>2025</v>
      </c>
      <c r="AK2">
        <v>2026</v>
      </c>
      <c r="AL2">
        <v>2027</v>
      </c>
      <c r="AM2">
        <v>2028</v>
      </c>
      <c r="AN2">
        <v>2029</v>
      </c>
      <c r="AO2">
        <v>2030</v>
      </c>
      <c r="AP2">
        <v>2031</v>
      </c>
      <c r="AQ2">
        <v>2032</v>
      </c>
      <c r="AR2">
        <v>2033</v>
      </c>
      <c r="AS2">
        <v>2034</v>
      </c>
      <c r="AT2">
        <v>2035</v>
      </c>
      <c r="AU2">
        <v>2036</v>
      </c>
      <c r="AV2">
        <v>2037</v>
      </c>
      <c r="AW2">
        <v>2038</v>
      </c>
      <c r="AX2">
        <v>2039</v>
      </c>
      <c r="AY2">
        <v>2040</v>
      </c>
      <c r="AZ2">
        <v>2041</v>
      </c>
      <c r="BA2">
        <v>2042</v>
      </c>
      <c r="BB2">
        <v>2043</v>
      </c>
      <c r="BC2">
        <v>2044</v>
      </c>
      <c r="BD2">
        <v>2045</v>
      </c>
      <c r="BE2">
        <v>2046</v>
      </c>
      <c r="BF2">
        <v>2047</v>
      </c>
      <c r="BG2">
        <v>2048</v>
      </c>
      <c r="BH2">
        <v>2049</v>
      </c>
      <c r="BI2">
        <v>2050</v>
      </c>
    </row>
    <row r="3" spans="1:61" s="2" customFormat="1" x14ac:dyDescent="0.2">
      <c r="B3" s="2" t="s">
        <v>68</v>
      </c>
      <c r="C3" s="5"/>
      <c r="D3" s="5"/>
      <c r="E3" s="5"/>
      <c r="F3" s="5"/>
      <c r="G3" s="5">
        <v>883</v>
      </c>
      <c r="H3" s="5"/>
      <c r="I3" s="5"/>
      <c r="J3" s="5"/>
      <c r="K3" s="5">
        <v>1116</v>
      </c>
      <c r="L3" s="5"/>
      <c r="M3" s="5"/>
      <c r="N3" s="5"/>
      <c r="AC3" s="2" t="s">
        <v>108</v>
      </c>
      <c r="AD3" s="2">
        <v>3255</v>
      </c>
      <c r="AE3" s="2">
        <v>4286</v>
      </c>
      <c r="AF3" s="2">
        <v>5573</v>
      </c>
      <c r="AG3" s="2">
        <v>6891</v>
      </c>
      <c r="AH3" s="2">
        <f>SUM(O11:R11)</f>
        <v>8680</v>
      </c>
      <c r="AI3" s="2">
        <f>SUM(S11:V11)</f>
        <v>10646</v>
      </c>
      <c r="AJ3" s="2">
        <f>SUM(W11:Z11)</f>
        <v>12883</v>
      </c>
      <c r="AK3" s="2">
        <f>(15735+15775)/2</f>
        <v>15755</v>
      </c>
    </row>
    <row r="4" spans="1:61" s="2" customFormat="1" x14ac:dyDescent="0.2">
      <c r="B4" s="2" t="s">
        <v>69</v>
      </c>
      <c r="C4" s="5"/>
      <c r="D4" s="5"/>
      <c r="E4" s="5"/>
      <c r="F4" s="5"/>
      <c r="G4" s="5">
        <v>343</v>
      </c>
      <c r="H4" s="5"/>
      <c r="I4" s="5"/>
      <c r="J4" s="5"/>
      <c r="K4" s="5">
        <v>434</v>
      </c>
      <c r="L4" s="5"/>
      <c r="M4" s="5"/>
      <c r="N4" s="5"/>
      <c r="AC4" s="2" t="s">
        <v>109</v>
      </c>
      <c r="AD4" s="2">
        <v>205</v>
      </c>
      <c r="AE4" s="2">
        <v>233</v>
      </c>
      <c r="AF4" s="2">
        <v>323</v>
      </c>
      <c r="AG4" s="2">
        <v>354</v>
      </c>
      <c r="AH4" s="2">
        <f>SUM(O12:R12)</f>
        <v>291</v>
      </c>
      <c r="AI4" s="2">
        <f>AI5-AI3</f>
        <v>338</v>
      </c>
      <c r="AJ4" s="2">
        <f>AJ5-AJ3</f>
        <v>395</v>
      </c>
      <c r="AK4" s="13">
        <f>0.03*AK5</f>
        <v>487.26804123711338</v>
      </c>
    </row>
    <row r="5" spans="1:61" s="2" customFormat="1" x14ac:dyDescent="0.2">
      <c r="B5" s="2" t="s">
        <v>70</v>
      </c>
      <c r="C5" s="5"/>
      <c r="D5" s="5"/>
      <c r="E5" s="5"/>
      <c r="F5" s="5"/>
      <c r="G5" s="5">
        <v>134</v>
      </c>
      <c r="H5" s="5"/>
      <c r="I5" s="5"/>
      <c r="J5" s="5"/>
      <c r="K5" s="5">
        <v>172</v>
      </c>
      <c r="L5" s="5"/>
      <c r="M5" s="5"/>
      <c r="N5" s="5"/>
      <c r="AC5" s="2" t="s">
        <v>8</v>
      </c>
      <c r="AD5" s="2">
        <v>3460</v>
      </c>
      <c r="AE5" s="2">
        <v>4519</v>
      </c>
      <c r="AF5" s="2">
        <v>5896</v>
      </c>
      <c r="AG5" s="2">
        <v>7245</v>
      </c>
      <c r="AH5" s="2">
        <f>SUM(O13:R13)</f>
        <v>8971</v>
      </c>
      <c r="AI5" s="2">
        <f>SUM(S13:V13)</f>
        <v>10984</v>
      </c>
      <c r="AJ5" s="2">
        <f>SUM(W13:Z13)</f>
        <v>13278</v>
      </c>
      <c r="AK5" s="13">
        <f>AK3/0.97</f>
        <v>16242.268041237114</v>
      </c>
      <c r="AL5" s="2">
        <f t="shared" ref="AL5:BE5" si="0">AK5*(1+AL6)</f>
        <v>19490.721649484534</v>
      </c>
      <c r="AM5" s="2">
        <f t="shared" si="0"/>
        <v>22999.051546391751</v>
      </c>
      <c r="AN5" s="2">
        <f t="shared" si="0"/>
        <v>27138.880824742264</v>
      </c>
      <c r="AO5" s="2">
        <f t="shared" si="0"/>
        <v>31209.712948453602</v>
      </c>
      <c r="AP5" s="2">
        <f t="shared" si="0"/>
        <v>35891.169890721641</v>
      </c>
      <c r="AQ5" s="2">
        <f t="shared" si="0"/>
        <v>36250.081589628855</v>
      </c>
      <c r="AR5" s="2">
        <f t="shared" si="0"/>
        <v>36612.582405525143</v>
      </c>
      <c r="AS5" s="2">
        <f t="shared" si="0"/>
        <v>36978.708229580392</v>
      </c>
      <c r="AT5" s="2">
        <f t="shared" si="0"/>
        <v>37348.495311876199</v>
      </c>
      <c r="AU5" s="2">
        <f t="shared" si="0"/>
        <v>37721.980264994963</v>
      </c>
      <c r="AV5" s="2">
        <f t="shared" si="0"/>
        <v>38099.20006764491</v>
      </c>
      <c r="AW5" s="2">
        <f t="shared" si="0"/>
        <v>38480.192068321361</v>
      </c>
      <c r="AX5" s="2">
        <f t="shared" si="0"/>
        <v>38864.993989004572</v>
      </c>
      <c r="AY5" s="2">
        <f t="shared" si="0"/>
        <v>39253.64392889462</v>
      </c>
      <c r="AZ5" s="2">
        <f t="shared" si="0"/>
        <v>39646.180368183566</v>
      </c>
      <c r="BA5" s="2">
        <f t="shared" si="0"/>
        <v>40042.642171865402</v>
      </c>
      <c r="BB5" s="2">
        <f t="shared" si="0"/>
        <v>40443.068593584059</v>
      </c>
      <c r="BC5" s="2">
        <f t="shared" si="0"/>
        <v>40847.4992795199</v>
      </c>
      <c r="BD5" s="2">
        <f t="shared" si="0"/>
        <v>41255.974272315099</v>
      </c>
      <c r="BE5" s="2">
        <f t="shared" si="0"/>
        <v>41668.534015038247</v>
      </c>
      <c r="BF5" s="2">
        <f t="shared" ref="BF5:BI5" si="1">BE5*(1+BF6)</f>
        <v>42085.21935518863</v>
      </c>
      <c r="BG5" s="2">
        <f t="shared" si="1"/>
        <v>42506.071548740518</v>
      </c>
      <c r="BH5" s="2">
        <f t="shared" si="1"/>
        <v>42931.132264227926</v>
      </c>
      <c r="BI5" s="2">
        <f t="shared" si="1"/>
        <v>43360.443586870206</v>
      </c>
    </row>
    <row r="6" spans="1:61" s="2" customFormat="1" x14ac:dyDescent="0.2"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AC6" s="2" t="s">
        <v>107</v>
      </c>
      <c r="AE6" s="12">
        <f t="shared" ref="AE6:AK6" si="2">(AE5-AD5)/AD5</f>
        <v>0.30606936416184971</v>
      </c>
      <c r="AF6" s="12">
        <f t="shared" si="2"/>
        <v>0.30471343217526003</v>
      </c>
      <c r="AG6" s="12">
        <f t="shared" si="2"/>
        <v>0.22879918588873813</v>
      </c>
      <c r="AH6" s="12">
        <f t="shared" si="2"/>
        <v>0.23823326432022085</v>
      </c>
      <c r="AI6" s="12">
        <f t="shared" si="2"/>
        <v>0.22438970014491139</v>
      </c>
      <c r="AJ6" s="12">
        <f t="shared" si="2"/>
        <v>0.20884923525127458</v>
      </c>
      <c r="AK6" s="12">
        <f t="shared" si="2"/>
        <v>0.22324657638478038</v>
      </c>
      <c r="AL6" s="12">
        <v>0.2</v>
      </c>
      <c r="AM6" s="12">
        <v>0.18</v>
      </c>
      <c r="AN6" s="12">
        <v>0.18</v>
      </c>
      <c r="AO6" s="12">
        <v>0.15</v>
      </c>
      <c r="AP6" s="12">
        <v>0.15</v>
      </c>
      <c r="AQ6" s="12">
        <f>$AM$21</f>
        <v>0.01</v>
      </c>
      <c r="AR6" s="12">
        <f t="shared" ref="AR6:BI6" si="3">$AM$21</f>
        <v>0.01</v>
      </c>
      <c r="AS6" s="12">
        <f t="shared" si="3"/>
        <v>0.01</v>
      </c>
      <c r="AT6" s="12">
        <f t="shared" si="3"/>
        <v>0.01</v>
      </c>
      <c r="AU6" s="12">
        <f t="shared" si="3"/>
        <v>0.01</v>
      </c>
      <c r="AV6" s="12">
        <f t="shared" si="3"/>
        <v>0.01</v>
      </c>
      <c r="AW6" s="12">
        <f t="shared" si="3"/>
        <v>0.01</v>
      </c>
      <c r="AX6" s="12">
        <f t="shared" si="3"/>
        <v>0.01</v>
      </c>
      <c r="AY6" s="12">
        <f t="shared" si="3"/>
        <v>0.01</v>
      </c>
      <c r="AZ6" s="12">
        <f t="shared" si="3"/>
        <v>0.01</v>
      </c>
      <c r="BA6" s="12">
        <f t="shared" si="3"/>
        <v>0.01</v>
      </c>
      <c r="BB6" s="12">
        <f t="shared" si="3"/>
        <v>0.01</v>
      </c>
      <c r="BC6" s="12">
        <f t="shared" si="3"/>
        <v>0.01</v>
      </c>
      <c r="BD6" s="12">
        <f t="shared" si="3"/>
        <v>0.01</v>
      </c>
      <c r="BE6" s="12">
        <f t="shared" si="3"/>
        <v>0.01</v>
      </c>
      <c r="BF6" s="12">
        <f t="shared" si="3"/>
        <v>0.01</v>
      </c>
      <c r="BG6" s="12">
        <f t="shared" si="3"/>
        <v>0.01</v>
      </c>
      <c r="BH6" s="12">
        <f t="shared" si="3"/>
        <v>0.01</v>
      </c>
      <c r="BI6" s="12">
        <f t="shared" si="3"/>
        <v>0.01</v>
      </c>
    </row>
    <row r="7" spans="1:61" s="2" customFormat="1" x14ac:dyDescent="0.2">
      <c r="B7" s="2" t="s">
        <v>92</v>
      </c>
      <c r="C7" s="5"/>
      <c r="D7" s="5"/>
      <c r="E7" s="5"/>
      <c r="F7" s="5"/>
      <c r="G7" s="5"/>
      <c r="H7" s="5"/>
      <c r="I7" s="5"/>
      <c r="J7" s="5"/>
      <c r="K7" s="5">
        <v>5690</v>
      </c>
      <c r="L7" s="5"/>
      <c r="M7" s="5"/>
      <c r="N7" s="5"/>
      <c r="AC7" s="2" t="s">
        <v>115</v>
      </c>
      <c r="AJ7" s="2">
        <f>AJ5*AJ8</f>
        <v>4647.2999999999993</v>
      </c>
      <c r="AK7" s="2">
        <f>AK5*AK8</f>
        <v>5847.216494845361</v>
      </c>
      <c r="AL7" s="2">
        <f>AL5*AL8</f>
        <v>7016.6597938144323</v>
      </c>
      <c r="AM7" s="2">
        <f>AM5*AM8</f>
        <v>8279.6585567010297</v>
      </c>
      <c r="AN7" s="2">
        <f>AN5*AN8</f>
        <v>9769.9970969072147</v>
      </c>
      <c r="AO7" s="2">
        <f t="shared" ref="AO7:BI7" si="4">AO5*AO8</f>
        <v>11859.690920412369</v>
      </c>
      <c r="AP7" s="2">
        <f t="shared" si="4"/>
        <v>13638.644558474223</v>
      </c>
      <c r="AQ7" s="2">
        <f t="shared" si="4"/>
        <v>13775.031004058965</v>
      </c>
      <c r="AR7" s="2">
        <f t="shared" si="4"/>
        <v>13912.781314099555</v>
      </c>
      <c r="AS7" s="2">
        <f t="shared" si="4"/>
        <v>14051.909127240549</v>
      </c>
      <c r="AT7" s="2">
        <f t="shared" si="4"/>
        <v>14192.428218512956</v>
      </c>
      <c r="AU7" s="2">
        <f t="shared" si="4"/>
        <v>14334.352500698085</v>
      </c>
      <c r="AV7" s="2">
        <f t="shared" si="4"/>
        <v>14477.696025705065</v>
      </c>
      <c r="AW7" s="2">
        <f t="shared" si="4"/>
        <v>14622.472985962117</v>
      </c>
      <c r="AX7" s="2">
        <f t="shared" si="4"/>
        <v>14768.697715821738</v>
      </c>
      <c r="AY7" s="2">
        <f t="shared" si="4"/>
        <v>14916.384692979957</v>
      </c>
      <c r="AZ7" s="2">
        <f t="shared" si="4"/>
        <v>15065.548539909756</v>
      </c>
      <c r="BA7" s="2">
        <f t="shared" si="4"/>
        <v>15216.204025308853</v>
      </c>
      <c r="BB7" s="2">
        <f t="shared" si="4"/>
        <v>15368.366065561942</v>
      </c>
      <c r="BC7" s="2">
        <f t="shared" si="4"/>
        <v>15522.049726217561</v>
      </c>
      <c r="BD7" s="2">
        <f t="shared" si="4"/>
        <v>15677.270223479738</v>
      </c>
      <c r="BE7" s="2">
        <f t="shared" si="4"/>
        <v>15834.042925714533</v>
      </c>
      <c r="BF7" s="2">
        <f t="shared" si="4"/>
        <v>15992.38335497168</v>
      </c>
      <c r="BG7" s="2">
        <f t="shared" si="4"/>
        <v>16152.307188521398</v>
      </c>
      <c r="BH7" s="2">
        <f t="shared" si="4"/>
        <v>16313.830260406612</v>
      </c>
      <c r="BI7" s="2">
        <f t="shared" si="4"/>
        <v>16476.96856301068</v>
      </c>
    </row>
    <row r="8" spans="1:61" s="2" customFormat="1" x14ac:dyDescent="0.2">
      <c r="B8" s="2" t="s">
        <v>90</v>
      </c>
      <c r="C8" s="5"/>
      <c r="D8" s="5"/>
      <c r="E8" s="5"/>
      <c r="F8" s="5"/>
      <c r="G8" s="5"/>
      <c r="H8" s="5"/>
      <c r="I8" s="5"/>
      <c r="J8" s="5"/>
      <c r="K8" s="5">
        <v>11500</v>
      </c>
      <c r="L8" s="5"/>
      <c r="M8" s="5"/>
      <c r="N8" s="5"/>
      <c r="AC8" s="2" t="s">
        <v>116</v>
      </c>
      <c r="AD8" s="12"/>
      <c r="AE8" s="12"/>
      <c r="AF8" s="12"/>
      <c r="AG8" s="12"/>
      <c r="AH8" s="12"/>
      <c r="AI8" s="12">
        <v>0.315</v>
      </c>
      <c r="AJ8" s="12">
        <v>0.35</v>
      </c>
      <c r="AK8" s="12">
        <v>0.36</v>
      </c>
      <c r="AL8" s="12">
        <v>0.36</v>
      </c>
      <c r="AM8" s="12">
        <v>0.36</v>
      </c>
      <c r="AN8" s="12">
        <v>0.36</v>
      </c>
      <c r="AO8" s="12">
        <v>0.38</v>
      </c>
      <c r="AP8" s="12">
        <v>0.38</v>
      </c>
      <c r="AQ8" s="12">
        <v>0.38</v>
      </c>
      <c r="AR8" s="12">
        <v>0.38</v>
      </c>
      <c r="AS8" s="12">
        <v>0.38</v>
      </c>
      <c r="AT8" s="12">
        <v>0.38</v>
      </c>
      <c r="AU8" s="12">
        <v>0.38</v>
      </c>
      <c r="AV8" s="12">
        <v>0.38</v>
      </c>
      <c r="AW8" s="12">
        <v>0.38</v>
      </c>
      <c r="AX8" s="12">
        <v>0.38</v>
      </c>
      <c r="AY8" s="12">
        <v>0.38</v>
      </c>
      <c r="AZ8" s="12">
        <v>0.38</v>
      </c>
      <c r="BA8" s="12">
        <v>0.38</v>
      </c>
      <c r="BB8" s="12">
        <v>0.38</v>
      </c>
      <c r="BC8" s="12">
        <v>0.38</v>
      </c>
      <c r="BD8" s="12">
        <v>0.38</v>
      </c>
      <c r="BE8" s="12">
        <v>0.38</v>
      </c>
      <c r="BF8" s="12">
        <v>0.38</v>
      </c>
      <c r="BG8" s="12">
        <v>0.38</v>
      </c>
      <c r="BH8" s="12">
        <v>0.38</v>
      </c>
      <c r="BI8" s="12">
        <v>0.38</v>
      </c>
    </row>
    <row r="9" spans="1:61" s="2" customFormat="1" x14ac:dyDescent="0.2">
      <c r="B9" s="2" t="s">
        <v>71</v>
      </c>
      <c r="C9" s="5"/>
      <c r="D9" s="5"/>
      <c r="E9" s="5"/>
      <c r="F9" s="5"/>
      <c r="G9" s="5">
        <v>1131</v>
      </c>
      <c r="H9" s="5"/>
      <c r="I9" s="5"/>
      <c r="J9" s="5"/>
      <c r="K9" s="5">
        <v>1440</v>
      </c>
      <c r="L9" s="5"/>
      <c r="M9" s="5"/>
      <c r="N9" s="5"/>
    </row>
    <row r="10" spans="1:61" x14ac:dyDescent="0.2">
      <c r="B10" s="2" t="s">
        <v>72</v>
      </c>
      <c r="G10" s="3">
        <v>162</v>
      </c>
      <c r="K10" s="3">
        <v>191</v>
      </c>
      <c r="AA10">
        <f>0.75%*AA11</f>
        <v>27.532499999999999</v>
      </c>
    </row>
    <row r="11" spans="1:61" s="2" customFormat="1" x14ac:dyDescent="0.2">
      <c r="B11" s="2" t="s">
        <v>20</v>
      </c>
      <c r="C11" s="5"/>
      <c r="D11" s="5"/>
      <c r="E11" s="5"/>
      <c r="F11" s="5"/>
      <c r="G11" s="5">
        <f>+G10+G9</f>
        <v>1293</v>
      </c>
      <c r="H11" s="5"/>
      <c r="I11" s="5"/>
      <c r="J11" s="5"/>
      <c r="K11" s="5">
        <f>+K10+K9</f>
        <v>1631</v>
      </c>
      <c r="L11" s="5"/>
      <c r="M11" s="5"/>
      <c r="N11" s="5"/>
      <c r="O11" s="2">
        <v>2024</v>
      </c>
      <c r="P11" s="2">
        <v>2075</v>
      </c>
      <c r="Q11" s="2">
        <v>2216</v>
      </c>
      <c r="R11" s="2">
        <f>8680-SUM(O11:Q11)</f>
        <v>2365</v>
      </c>
      <c r="S11" s="2">
        <v>2523</v>
      </c>
      <c r="T11" s="2">
        <v>2542</v>
      </c>
      <c r="U11" s="2">
        <v>2715</v>
      </c>
      <c r="V11" s="2">
        <f>10646-SUM(S11:U11)</f>
        <v>2866</v>
      </c>
      <c r="W11" s="2">
        <v>3005</v>
      </c>
      <c r="X11" s="2">
        <v>3113</v>
      </c>
      <c r="Y11" s="2">
        <v>3299</v>
      </c>
      <c r="Z11" s="2">
        <v>3466</v>
      </c>
      <c r="AA11" s="2">
        <v>3671</v>
      </c>
    </row>
    <row r="12" spans="1:61" s="2" customFormat="1" x14ac:dyDescent="0.2">
      <c r="B12" s="2" t="s">
        <v>21</v>
      </c>
      <c r="C12" s="5"/>
      <c r="D12" s="5"/>
      <c r="E12" s="5"/>
      <c r="F12" s="5"/>
      <c r="G12" s="5">
        <v>67</v>
      </c>
      <c r="H12" s="5"/>
      <c r="I12" s="5"/>
      <c r="J12" s="5"/>
      <c r="K12" s="5">
        <v>91</v>
      </c>
      <c r="L12" s="5"/>
      <c r="M12" s="5"/>
      <c r="N12" s="5"/>
      <c r="O12" s="2">
        <v>72</v>
      </c>
      <c r="P12" s="2">
        <v>75</v>
      </c>
      <c r="Q12" s="2">
        <v>72</v>
      </c>
      <c r="R12" s="2">
        <f>291-SUM(O12:Q12)</f>
        <v>72</v>
      </c>
      <c r="S12" s="2">
        <v>80</v>
      </c>
      <c r="T12" s="2">
        <v>85</v>
      </c>
      <c r="U12" s="2">
        <v>82</v>
      </c>
      <c r="V12" s="2">
        <f>338-SUM(S12:U12)</f>
        <v>91</v>
      </c>
      <c r="W12" s="2">
        <v>83</v>
      </c>
      <c r="X12" s="2">
        <v>102</v>
      </c>
      <c r="Y12" s="2">
        <v>108</v>
      </c>
      <c r="Z12" s="2">
        <v>102</v>
      </c>
      <c r="AA12" s="2">
        <v>99</v>
      </c>
    </row>
    <row r="13" spans="1:61" s="7" customFormat="1" x14ac:dyDescent="0.2">
      <c r="B13" s="7" t="s">
        <v>8</v>
      </c>
      <c r="C13" s="8"/>
      <c r="D13" s="8"/>
      <c r="E13" s="8"/>
      <c r="F13" s="8"/>
      <c r="G13" s="8">
        <f>+G11+G12</f>
        <v>1360</v>
      </c>
      <c r="H13" s="8"/>
      <c r="I13" s="8"/>
      <c r="J13" s="8"/>
      <c r="K13" s="7">
        <f t="shared" ref="K13:S13" si="5">+K11+K12</f>
        <v>1722</v>
      </c>
      <c r="L13" s="7">
        <f t="shared" si="5"/>
        <v>0</v>
      </c>
      <c r="M13" s="7">
        <f t="shared" si="5"/>
        <v>0</v>
      </c>
      <c r="N13" s="7">
        <f t="shared" si="5"/>
        <v>0</v>
      </c>
      <c r="O13" s="7">
        <f t="shared" si="5"/>
        <v>2096</v>
      </c>
      <c r="P13" s="7">
        <f t="shared" si="5"/>
        <v>2150</v>
      </c>
      <c r="Q13" s="7">
        <f t="shared" si="5"/>
        <v>2288</v>
      </c>
      <c r="R13" s="7">
        <f t="shared" si="5"/>
        <v>2437</v>
      </c>
      <c r="S13" s="7">
        <f t="shared" si="5"/>
        <v>2603</v>
      </c>
      <c r="T13" s="7">
        <f t="shared" ref="T13:AA13" si="6">+T11+T12</f>
        <v>2627</v>
      </c>
      <c r="U13" s="7">
        <f t="shared" si="6"/>
        <v>2797</v>
      </c>
      <c r="V13" s="7">
        <f t="shared" si="6"/>
        <v>2957</v>
      </c>
      <c r="W13" s="7">
        <f t="shared" si="6"/>
        <v>3088</v>
      </c>
      <c r="X13" s="7">
        <f t="shared" si="6"/>
        <v>3215</v>
      </c>
      <c r="Y13" s="7">
        <f t="shared" si="6"/>
        <v>3407</v>
      </c>
      <c r="Z13" s="7">
        <f t="shared" si="6"/>
        <v>3568</v>
      </c>
      <c r="AA13" s="7">
        <f t="shared" si="6"/>
        <v>3770</v>
      </c>
    </row>
    <row r="14" spans="1:61" s="2" customFormat="1" x14ac:dyDescent="0.2">
      <c r="B14" s="2" t="s">
        <v>22</v>
      </c>
      <c r="C14" s="5"/>
      <c r="D14" s="5"/>
      <c r="E14" s="5"/>
      <c r="F14" s="5"/>
      <c r="G14" s="5">
        <v>299</v>
      </c>
      <c r="H14" s="5"/>
      <c r="I14" s="5"/>
      <c r="J14" s="5"/>
      <c r="K14" s="5">
        <f>275+94</f>
        <v>369</v>
      </c>
      <c r="L14" s="5"/>
      <c r="M14" s="5"/>
      <c r="N14" s="5"/>
      <c r="O14" s="2">
        <v>438</v>
      </c>
      <c r="P14" s="2">
        <v>471</v>
      </c>
      <c r="Q14" s="2">
        <v>496</v>
      </c>
      <c r="R14" s="2">
        <f>1921-SUM(O14:Q14)</f>
        <v>516</v>
      </c>
      <c r="S14" s="2">
        <v>520</v>
      </c>
      <c r="T14" s="2">
        <v>552</v>
      </c>
      <c r="U14" s="2">
        <v>584</v>
      </c>
      <c r="V14" s="2">
        <f>2287-SUM(S14:U14)</f>
        <v>631</v>
      </c>
      <c r="W14" s="2">
        <f>561+90</f>
        <v>651</v>
      </c>
      <c r="X14" s="2">
        <v>724</v>
      </c>
      <c r="Y14" s="2">
        <v>774</v>
      </c>
      <c r="Z14" s="2">
        <v>834</v>
      </c>
      <c r="AA14" s="2">
        <f>940</f>
        <v>940</v>
      </c>
    </row>
    <row r="15" spans="1:61" s="2" customFormat="1" x14ac:dyDescent="0.2">
      <c r="B15" s="2" t="s">
        <v>23</v>
      </c>
      <c r="C15" s="5"/>
      <c r="D15" s="5"/>
      <c r="E15" s="5"/>
      <c r="F15" s="5"/>
      <c r="G15" s="5">
        <f>+G13-G14</f>
        <v>1061</v>
      </c>
      <c r="H15" s="5"/>
      <c r="I15" s="5"/>
      <c r="J15" s="5"/>
      <c r="K15" s="5">
        <f>+K13-K14</f>
        <v>1353</v>
      </c>
      <c r="L15" s="5"/>
      <c r="M15" s="5"/>
      <c r="N15" s="5"/>
      <c r="O15" s="2">
        <f t="shared" ref="O15:AA15" si="7">+O13-O14</f>
        <v>1658</v>
      </c>
      <c r="P15" s="2">
        <f t="shared" si="7"/>
        <v>1679</v>
      </c>
      <c r="Q15" s="2">
        <f t="shared" si="7"/>
        <v>1792</v>
      </c>
      <c r="R15" s="2">
        <f t="shared" si="7"/>
        <v>1921</v>
      </c>
      <c r="S15" s="2">
        <f t="shared" si="7"/>
        <v>2083</v>
      </c>
      <c r="T15" s="2">
        <f t="shared" si="7"/>
        <v>2075</v>
      </c>
      <c r="U15" s="2">
        <f t="shared" si="7"/>
        <v>2213</v>
      </c>
      <c r="V15" s="2">
        <f t="shared" si="7"/>
        <v>2326</v>
      </c>
      <c r="W15" s="2">
        <f t="shared" si="7"/>
        <v>2437</v>
      </c>
      <c r="X15" s="2">
        <f t="shared" si="7"/>
        <v>2491</v>
      </c>
      <c r="Y15" s="2">
        <f t="shared" si="7"/>
        <v>2633</v>
      </c>
      <c r="Z15" s="2">
        <f t="shared" si="7"/>
        <v>2734</v>
      </c>
      <c r="AA15" s="2">
        <f t="shared" si="7"/>
        <v>2830</v>
      </c>
    </row>
    <row r="16" spans="1:61" s="2" customFormat="1" x14ac:dyDescent="0.2">
      <c r="B16" s="2" t="s">
        <v>24</v>
      </c>
      <c r="C16" s="5"/>
      <c r="D16" s="5"/>
      <c r="E16" s="5"/>
      <c r="F16" s="5"/>
      <c r="G16" s="5">
        <v>524</v>
      </c>
      <c r="H16" s="5"/>
      <c r="I16" s="5"/>
      <c r="J16" s="5"/>
      <c r="K16" s="5">
        <v>673</v>
      </c>
      <c r="L16" s="5"/>
      <c r="M16" s="5"/>
      <c r="N16" s="5"/>
      <c r="O16" s="2">
        <v>823</v>
      </c>
      <c r="P16" s="2">
        <v>832</v>
      </c>
      <c r="Q16" s="2">
        <v>799</v>
      </c>
      <c r="R16" s="2">
        <f>3301-SUM(O16:Q16)</f>
        <v>847</v>
      </c>
      <c r="S16" s="2">
        <v>923</v>
      </c>
      <c r="T16" s="2">
        <v>960</v>
      </c>
      <c r="U16" s="2">
        <v>944</v>
      </c>
      <c r="V16" s="2">
        <f>3854-SUM(S16:U16)</f>
        <v>1027</v>
      </c>
      <c r="W16" s="2">
        <v>1054</v>
      </c>
      <c r="X16" s="2">
        <v>1128</v>
      </c>
      <c r="Y16" s="2">
        <v>1056</v>
      </c>
      <c r="Z16" s="2">
        <v>1150</v>
      </c>
      <c r="AA16" s="2">
        <f>1216</f>
        <v>1216</v>
      </c>
    </row>
    <row r="17" spans="2:39" s="2" customFormat="1" x14ac:dyDescent="0.2">
      <c r="B17" s="2" t="s">
        <v>25</v>
      </c>
      <c r="C17" s="5"/>
      <c r="D17" s="5"/>
      <c r="E17" s="5"/>
      <c r="F17" s="5"/>
      <c r="G17" s="5">
        <v>314</v>
      </c>
      <c r="H17" s="5"/>
      <c r="I17" s="5"/>
      <c r="J17" s="5"/>
      <c r="K17" s="5">
        <v>414</v>
      </c>
      <c r="L17" s="5"/>
      <c r="M17" s="5"/>
      <c r="N17" s="5"/>
      <c r="O17" s="2">
        <v>492</v>
      </c>
      <c r="P17" s="2">
        <v>521</v>
      </c>
      <c r="Q17" s="2">
        <v>549</v>
      </c>
      <c r="R17" s="2">
        <f>2124-SUM(O17:Q17)</f>
        <v>562</v>
      </c>
      <c r="S17" s="2">
        <v>606</v>
      </c>
      <c r="T17" s="2">
        <v>643</v>
      </c>
      <c r="U17" s="2">
        <v>626</v>
      </c>
      <c r="V17" s="2">
        <f>2543-SUM(S17:U17)</f>
        <v>668</v>
      </c>
      <c r="W17" s="2">
        <v>703</v>
      </c>
      <c r="X17" s="2">
        <v>734</v>
      </c>
      <c r="Y17" s="2">
        <v>750</v>
      </c>
      <c r="Z17" s="2">
        <v>773</v>
      </c>
      <c r="AA17" s="2">
        <v>823</v>
      </c>
    </row>
    <row r="18" spans="2:39" s="2" customFormat="1" x14ac:dyDescent="0.2">
      <c r="B18" s="2" t="s">
        <v>26</v>
      </c>
      <c r="C18" s="5"/>
      <c r="D18" s="5"/>
      <c r="E18" s="5"/>
      <c r="F18" s="5"/>
      <c r="G18" s="5">
        <v>126</v>
      </c>
      <c r="H18" s="5"/>
      <c r="I18" s="5"/>
      <c r="J18" s="5"/>
      <c r="K18" s="5">
        <v>179</v>
      </c>
      <c r="L18" s="5"/>
      <c r="M18" s="5"/>
      <c r="N18" s="5"/>
      <c r="O18" s="2">
        <v>199</v>
      </c>
      <c r="P18" s="2">
        <v>209</v>
      </c>
      <c r="Q18" s="2">
        <v>213</v>
      </c>
      <c r="R18" s="2">
        <f>863-SUM(O18:Q18)</f>
        <v>242</v>
      </c>
      <c r="S18" s="2">
        <v>222</v>
      </c>
      <c r="T18" s="2">
        <v>232</v>
      </c>
      <c r="U18" s="2">
        <v>225</v>
      </c>
      <c r="V18" s="2">
        <f>936-SUM(S18:U18)</f>
        <v>257</v>
      </c>
      <c r="W18" s="2">
        <v>229</v>
      </c>
      <c r="X18" s="2">
        <v>271</v>
      </c>
      <c r="Y18" s="2">
        <v>255</v>
      </c>
      <c r="Z18" s="2">
        <v>368</v>
      </c>
      <c r="AA18" s="2">
        <v>288</v>
      </c>
    </row>
    <row r="19" spans="2:39" s="2" customFormat="1" x14ac:dyDescent="0.2">
      <c r="B19" s="2" t="s">
        <v>27</v>
      </c>
      <c r="C19" s="5"/>
      <c r="D19" s="5"/>
      <c r="E19" s="5"/>
      <c r="F19" s="5"/>
      <c r="G19" s="5">
        <f>SUM(G16:G18)</f>
        <v>964</v>
      </c>
      <c r="H19" s="5"/>
      <c r="I19" s="5"/>
      <c r="J19" s="5"/>
      <c r="K19" s="5">
        <f>SUM(K16:K18)</f>
        <v>1266</v>
      </c>
      <c r="L19" s="5"/>
      <c r="M19" s="5"/>
      <c r="N19" s="5"/>
      <c r="O19" s="2">
        <f t="shared" ref="O19:AA19" si="8">SUM(O16:O18)</f>
        <v>1514</v>
      </c>
      <c r="P19" s="2">
        <f t="shared" si="8"/>
        <v>1562</v>
      </c>
      <c r="Q19" s="2">
        <f t="shared" si="8"/>
        <v>1561</v>
      </c>
      <c r="R19" s="2">
        <f t="shared" si="8"/>
        <v>1651</v>
      </c>
      <c r="S19" s="2">
        <f t="shared" si="8"/>
        <v>1751</v>
      </c>
      <c r="T19" s="2">
        <f t="shared" si="8"/>
        <v>1835</v>
      </c>
      <c r="U19" s="2">
        <f t="shared" si="8"/>
        <v>1795</v>
      </c>
      <c r="V19" s="2">
        <f t="shared" si="8"/>
        <v>1952</v>
      </c>
      <c r="W19" s="2">
        <f t="shared" si="8"/>
        <v>1986</v>
      </c>
      <c r="X19" s="2">
        <f t="shared" si="8"/>
        <v>2133</v>
      </c>
      <c r="Y19" s="2">
        <f t="shared" si="8"/>
        <v>2061</v>
      </c>
      <c r="Z19" s="2">
        <f t="shared" si="8"/>
        <v>2291</v>
      </c>
      <c r="AA19" s="2">
        <f t="shared" si="8"/>
        <v>2327</v>
      </c>
      <c r="AL19" t="s">
        <v>110</v>
      </c>
      <c r="AM19" s="2">
        <f>NPV(AM20,AK7:BI7)</f>
        <v>131144.30088363338</v>
      </c>
    </row>
    <row r="20" spans="2:39" s="2" customFormat="1" x14ac:dyDescent="0.2">
      <c r="B20" s="2" t="s">
        <v>28</v>
      </c>
      <c r="C20" s="5"/>
      <c r="D20" s="5"/>
      <c r="E20" s="5"/>
      <c r="F20" s="5"/>
      <c r="G20" s="5">
        <f>G15-G19</f>
        <v>97</v>
      </c>
      <c r="H20" s="5"/>
      <c r="I20" s="5"/>
      <c r="J20" s="5"/>
      <c r="K20" s="5">
        <f>K15-K19</f>
        <v>87</v>
      </c>
      <c r="L20" s="5"/>
      <c r="M20" s="5"/>
      <c r="N20" s="5"/>
      <c r="O20" s="2">
        <f t="shared" ref="O20:AA20" si="9">O15-O19</f>
        <v>144</v>
      </c>
      <c r="P20" s="2">
        <f t="shared" si="9"/>
        <v>117</v>
      </c>
      <c r="Q20" s="2">
        <f t="shared" si="9"/>
        <v>231</v>
      </c>
      <c r="R20" s="2">
        <f t="shared" si="9"/>
        <v>270</v>
      </c>
      <c r="S20" s="2">
        <f t="shared" si="9"/>
        <v>332</v>
      </c>
      <c r="T20" s="2">
        <f t="shared" si="9"/>
        <v>240</v>
      </c>
      <c r="U20" s="2">
        <f t="shared" si="9"/>
        <v>418</v>
      </c>
      <c r="V20" s="2">
        <f t="shared" si="9"/>
        <v>374</v>
      </c>
      <c r="W20" s="2">
        <f t="shared" si="9"/>
        <v>451</v>
      </c>
      <c r="X20" s="2">
        <f t="shared" si="9"/>
        <v>358</v>
      </c>
      <c r="Y20" s="2">
        <f t="shared" si="9"/>
        <v>572</v>
      </c>
      <c r="Z20" s="2">
        <f t="shared" si="9"/>
        <v>443</v>
      </c>
      <c r="AA20" s="2">
        <f t="shared" si="9"/>
        <v>503</v>
      </c>
      <c r="AL20" s="2" t="s">
        <v>111</v>
      </c>
      <c r="AM20" s="12">
        <v>0.08</v>
      </c>
    </row>
    <row r="21" spans="2:39" s="2" customFormat="1" x14ac:dyDescent="0.2">
      <c r="B21" s="2" t="s">
        <v>33</v>
      </c>
      <c r="C21" s="5"/>
      <c r="D21" s="5"/>
      <c r="E21" s="5"/>
      <c r="F21" s="5"/>
      <c r="G21" s="5">
        <f>-7+9</f>
        <v>2</v>
      </c>
      <c r="H21" s="5"/>
      <c r="I21" s="5"/>
      <c r="J21" s="5"/>
      <c r="K21" s="5">
        <f>-6+4</f>
        <v>-2</v>
      </c>
      <c r="L21" s="5"/>
      <c r="M21" s="5"/>
      <c r="N21" s="5"/>
      <c r="O21" s="2">
        <f>60-16</f>
        <v>44</v>
      </c>
      <c r="P21" s="2">
        <f>74-17</f>
        <v>57</v>
      </c>
      <c r="Q21" s="2">
        <f>82-14</f>
        <v>68</v>
      </c>
      <c r="R21" s="2">
        <f>302-56-SUM(O21:Q21)</f>
        <v>77</v>
      </c>
      <c r="S21" s="2">
        <f>101-8</f>
        <v>93</v>
      </c>
      <c r="T21" s="2">
        <f>104-10</f>
        <v>94</v>
      </c>
      <c r="U21" s="2">
        <f>108-10</f>
        <v>98</v>
      </c>
      <c r="V21" s="2">
        <f>419-45-SUM(S21:U21)</f>
        <v>89</v>
      </c>
      <c r="W21" s="2">
        <f>115-11</f>
        <v>104</v>
      </c>
      <c r="X21" s="2">
        <f>116-3</f>
        <v>113</v>
      </c>
      <c r="Y21" s="2">
        <f>115+7</f>
        <v>122</v>
      </c>
      <c r="Z21" s="2">
        <f>105-7</f>
        <v>98</v>
      </c>
      <c r="AA21" s="2">
        <f>88+82</f>
        <v>170</v>
      </c>
      <c r="AL21" t="s">
        <v>112</v>
      </c>
      <c r="AM21" s="12">
        <v>0.01</v>
      </c>
    </row>
    <row r="22" spans="2:39" s="2" customFormat="1" x14ac:dyDescent="0.2">
      <c r="B22" s="2" t="s">
        <v>32</v>
      </c>
      <c r="C22" s="5"/>
      <c r="D22" s="5"/>
      <c r="E22" s="5"/>
      <c r="F22" s="5"/>
      <c r="G22" s="5">
        <f>G20+G21</f>
        <v>99</v>
      </c>
      <c r="H22" s="5"/>
      <c r="I22" s="5"/>
      <c r="J22" s="5"/>
      <c r="K22" s="5">
        <f>K20+K21</f>
        <v>85</v>
      </c>
      <c r="L22" s="5"/>
      <c r="M22" s="5"/>
      <c r="N22" s="5"/>
      <c r="O22" s="2">
        <f t="shared" ref="O22:AA22" si="10">+O20+O21</f>
        <v>188</v>
      </c>
      <c r="P22" s="2">
        <f t="shared" si="10"/>
        <v>174</v>
      </c>
      <c r="Q22" s="2">
        <f t="shared" si="10"/>
        <v>299</v>
      </c>
      <c r="R22" s="2">
        <f t="shared" si="10"/>
        <v>347</v>
      </c>
      <c r="S22" s="2">
        <f t="shared" si="10"/>
        <v>425</v>
      </c>
      <c r="T22" s="2">
        <f t="shared" si="10"/>
        <v>334</v>
      </c>
      <c r="U22" s="2">
        <f t="shared" si="10"/>
        <v>516</v>
      </c>
      <c r="V22" s="2">
        <f t="shared" si="10"/>
        <v>463</v>
      </c>
      <c r="W22" s="2">
        <f t="shared" si="10"/>
        <v>555</v>
      </c>
      <c r="X22" s="2">
        <f t="shared" si="10"/>
        <v>471</v>
      </c>
      <c r="Y22" s="2">
        <f t="shared" si="10"/>
        <v>694</v>
      </c>
      <c r="Z22" s="2">
        <f t="shared" si="10"/>
        <v>541</v>
      </c>
      <c r="AA22" s="2">
        <f t="shared" si="10"/>
        <v>673</v>
      </c>
      <c r="AL22" s="2" t="s">
        <v>113</v>
      </c>
      <c r="AM22" s="14">
        <f>AM19/Main!L3</f>
        <v>126.22165628838631</v>
      </c>
    </row>
    <row r="23" spans="2:39" s="2" customFormat="1" x14ac:dyDescent="0.2">
      <c r="B23" s="2" t="s">
        <v>31</v>
      </c>
      <c r="C23" s="5"/>
      <c r="D23" s="5"/>
      <c r="E23" s="5"/>
      <c r="F23" s="5"/>
      <c r="G23" s="5">
        <v>17</v>
      </c>
      <c r="H23" s="5"/>
      <c r="I23" s="5"/>
      <c r="J23" s="5"/>
      <c r="K23" s="5">
        <v>10</v>
      </c>
      <c r="L23" s="5"/>
      <c r="M23" s="5"/>
      <c r="N23" s="5"/>
      <c r="O23" s="2">
        <v>38</v>
      </c>
      <c r="P23" s="2">
        <f>-0.87</f>
        <v>-0.87</v>
      </c>
      <c r="Q23" s="2">
        <v>57</v>
      </c>
      <c r="R23" s="2">
        <f>-723-SUM(O23:Q23)</f>
        <v>-817.13</v>
      </c>
      <c r="S23" s="2">
        <v>78</v>
      </c>
      <c r="T23" s="2">
        <v>72</v>
      </c>
      <c r="U23" s="2">
        <v>84</v>
      </c>
      <c r="V23" s="2">
        <f>313-SUM(S23:U23)</f>
        <v>79</v>
      </c>
      <c r="W23" s="2">
        <v>95</v>
      </c>
      <c r="X23" s="2">
        <v>86</v>
      </c>
      <c r="Y23" s="2">
        <v>192</v>
      </c>
      <c r="Z23" s="2">
        <v>140</v>
      </c>
      <c r="AA23" s="2">
        <v>204</v>
      </c>
      <c r="AL23" s="2" t="s">
        <v>114</v>
      </c>
      <c r="AM23" s="12">
        <f>Model!AM22/Main!L2-1</f>
        <v>0.41313990470651962</v>
      </c>
    </row>
    <row r="24" spans="2:39" s="2" customFormat="1" x14ac:dyDescent="0.2">
      <c r="B24" s="2" t="s">
        <v>30</v>
      </c>
      <c r="C24" s="5"/>
      <c r="D24" s="5"/>
      <c r="E24" s="5"/>
      <c r="F24" s="5"/>
      <c r="G24" s="5">
        <f>+G22-G23</f>
        <v>82</v>
      </c>
      <c r="H24" s="5"/>
      <c r="I24" s="5"/>
      <c r="J24" s="5"/>
      <c r="K24" s="5">
        <f>+K22-K23</f>
        <v>75</v>
      </c>
      <c r="L24" s="5"/>
      <c r="M24" s="5"/>
      <c r="N24" s="5"/>
      <c r="O24" s="2">
        <f t="shared" ref="O24:AA24" si="11">+O22-O23</f>
        <v>150</v>
      </c>
      <c r="P24" s="2">
        <f t="shared" si="11"/>
        <v>174.87</v>
      </c>
      <c r="Q24" s="2">
        <f t="shared" si="11"/>
        <v>242</v>
      </c>
      <c r="R24" s="2">
        <f t="shared" si="11"/>
        <v>1164.1300000000001</v>
      </c>
      <c r="S24" s="2">
        <f t="shared" si="11"/>
        <v>347</v>
      </c>
      <c r="T24" s="2">
        <f t="shared" si="11"/>
        <v>262</v>
      </c>
      <c r="U24" s="2">
        <f t="shared" si="11"/>
        <v>432</v>
      </c>
      <c r="V24" s="2">
        <f t="shared" si="11"/>
        <v>384</v>
      </c>
      <c r="W24" s="2">
        <f t="shared" si="11"/>
        <v>460</v>
      </c>
      <c r="X24" s="2">
        <f t="shared" si="11"/>
        <v>385</v>
      </c>
      <c r="Y24" s="2">
        <f t="shared" si="11"/>
        <v>502</v>
      </c>
      <c r="Z24" s="2">
        <f t="shared" si="11"/>
        <v>401</v>
      </c>
      <c r="AA24" s="2">
        <f t="shared" si="11"/>
        <v>469</v>
      </c>
    </row>
    <row r="25" spans="2:39" x14ac:dyDescent="0.2">
      <c r="B25" t="s">
        <v>29</v>
      </c>
      <c r="G25" s="4">
        <f>G24/G26</f>
        <v>0.40540273300769275</v>
      </c>
      <c r="K25" s="4">
        <f>K24/K26</f>
        <v>0.36982248520710059</v>
      </c>
      <c r="O25" s="1">
        <f t="shared" ref="O25:AA25" si="12">+O24/O26</f>
        <v>0.14686947709570503</v>
      </c>
      <c r="P25" s="1">
        <f t="shared" si="12"/>
        <v>0.1706048780487805</v>
      </c>
      <c r="Q25" s="1">
        <f t="shared" si="12"/>
        <v>0.23463595068766754</v>
      </c>
      <c r="R25" s="1">
        <f t="shared" si="12"/>
        <v>1.1170840070433685</v>
      </c>
      <c r="S25" s="1">
        <f t="shared" si="12"/>
        <v>0.33429672447013487</v>
      </c>
      <c r="T25" s="1">
        <f t="shared" si="12"/>
        <v>0.25192307692307692</v>
      </c>
      <c r="U25" s="1">
        <f t="shared" si="12"/>
        <v>0.41438848920863308</v>
      </c>
      <c r="V25" s="1">
        <f t="shared" si="12"/>
        <v>0.36852207293666028</v>
      </c>
      <c r="W25" s="1">
        <f t="shared" si="12"/>
        <v>0.43935052531041069</v>
      </c>
      <c r="X25" s="1">
        <f t="shared" si="12"/>
        <v>0.36789297658862874</v>
      </c>
      <c r="Y25" s="1">
        <f t="shared" si="12"/>
        <v>0.47923627684964198</v>
      </c>
      <c r="Z25" s="1">
        <f t="shared" si="12"/>
        <v>0.38299904489016234</v>
      </c>
      <c r="AA25" s="1">
        <f t="shared" si="12"/>
        <v>0.45139557266602504</v>
      </c>
    </row>
    <row r="26" spans="2:39" s="2" customFormat="1" x14ac:dyDescent="0.2">
      <c r="B26" s="2" t="s">
        <v>1</v>
      </c>
      <c r="C26" s="5"/>
      <c r="D26" s="5"/>
      <c r="E26" s="5"/>
      <c r="F26" s="5"/>
      <c r="G26" s="5">
        <v>202.268</v>
      </c>
      <c r="H26" s="5"/>
      <c r="I26" s="5"/>
      <c r="J26" s="5"/>
      <c r="K26" s="5">
        <v>202.8</v>
      </c>
      <c r="L26" s="5"/>
      <c r="M26" s="5"/>
      <c r="N26" s="5"/>
      <c r="O26" s="2">
        <f>204.263*5</f>
        <v>1021.3150000000001</v>
      </c>
      <c r="P26" s="2">
        <f>205*5</f>
        <v>1025</v>
      </c>
      <c r="Q26" s="2">
        <f>206.277*5</f>
        <v>1031.385</v>
      </c>
      <c r="R26" s="2">
        <f>5*208.423</f>
        <v>1042.115</v>
      </c>
      <c r="S26" s="2">
        <f>207.6*5</f>
        <v>1038</v>
      </c>
      <c r="T26" s="2">
        <f>208*5</f>
        <v>1040</v>
      </c>
      <c r="U26" s="2">
        <f>208.5*5</f>
        <v>1042.5</v>
      </c>
      <c r="V26" s="2">
        <f>208.4*5</f>
        <v>1042</v>
      </c>
      <c r="W26" s="2">
        <f>5*209.4</f>
        <v>1047</v>
      </c>
      <c r="X26" s="2">
        <f>5*209.3</f>
        <v>1046.5</v>
      </c>
      <c r="Y26" s="2">
        <f>5*209.5</f>
        <v>1047.5</v>
      </c>
      <c r="Z26" s="2">
        <v>1047</v>
      </c>
      <c r="AA26" s="2">
        <v>1039</v>
      </c>
    </row>
    <row r="28" spans="2:39" x14ac:dyDescent="0.2">
      <c r="B28" s="2" t="s">
        <v>48</v>
      </c>
      <c r="K28" s="9">
        <f>K13/G13-1</f>
        <v>0.26617647058823524</v>
      </c>
      <c r="R28" s="11"/>
      <c r="S28" s="11">
        <f t="shared" ref="S28:AA28" si="13">+S13/O13-1</f>
        <v>0.24188931297709915</v>
      </c>
      <c r="T28" s="11">
        <f t="shared" si="13"/>
        <v>0.22186046511627899</v>
      </c>
      <c r="U28" s="11">
        <f t="shared" si="13"/>
        <v>0.222465034965035</v>
      </c>
      <c r="V28" s="11">
        <f t="shared" si="13"/>
        <v>0.21337710299548629</v>
      </c>
      <c r="W28" s="11">
        <f t="shared" si="13"/>
        <v>0.18632347291586626</v>
      </c>
      <c r="X28" s="11">
        <f t="shared" si="13"/>
        <v>0.22382946326608288</v>
      </c>
      <c r="Y28" s="11">
        <f t="shared" si="13"/>
        <v>0.21809081158383981</v>
      </c>
      <c r="Z28" s="11">
        <f t="shared" si="13"/>
        <v>0.20662833953331083</v>
      </c>
      <c r="AA28" s="11">
        <f t="shared" si="13"/>
        <v>0.22085492227979264</v>
      </c>
    </row>
    <row r="30" spans="2:39" x14ac:dyDescent="0.2">
      <c r="B30" t="s">
        <v>3</v>
      </c>
      <c r="K30" s="5">
        <f>2252+1762+1484</f>
        <v>5498</v>
      </c>
      <c r="T30" s="2">
        <f>2159+3254+3472</f>
        <v>8885</v>
      </c>
    </row>
    <row r="31" spans="2:39" x14ac:dyDescent="0.2">
      <c r="B31" t="s">
        <v>34</v>
      </c>
      <c r="K31" s="5">
        <v>824</v>
      </c>
      <c r="T31" s="2">
        <v>1518</v>
      </c>
    </row>
    <row r="32" spans="2:39" x14ac:dyDescent="0.2">
      <c r="B32" t="s">
        <v>35</v>
      </c>
      <c r="K32" s="5">
        <f>322+655</f>
        <v>977</v>
      </c>
      <c r="T32" s="2">
        <f>482+928</f>
        <v>1410</v>
      </c>
    </row>
    <row r="33" spans="2:20" x14ac:dyDescent="0.2">
      <c r="B33" t="s">
        <v>37</v>
      </c>
      <c r="K33" s="5">
        <v>282</v>
      </c>
      <c r="T33" s="2">
        <v>608</v>
      </c>
    </row>
    <row r="34" spans="2:20" x14ac:dyDescent="0.2">
      <c r="B34" t="s">
        <v>38</v>
      </c>
      <c r="K34" s="5">
        <v>798</v>
      </c>
      <c r="T34" s="2">
        <v>1606</v>
      </c>
    </row>
    <row r="35" spans="2:20" x14ac:dyDescent="0.2">
      <c r="B35" t="s">
        <v>39</v>
      </c>
      <c r="K35" s="5">
        <v>583</v>
      </c>
      <c r="T35" s="2">
        <v>675</v>
      </c>
    </row>
    <row r="36" spans="2:20" x14ac:dyDescent="0.2">
      <c r="B36" t="s">
        <v>40</v>
      </c>
      <c r="K36" s="5">
        <f>266+774</f>
        <v>1040</v>
      </c>
      <c r="T36" s="2">
        <f>220+1239</f>
        <v>1459</v>
      </c>
    </row>
    <row r="37" spans="2:20" x14ac:dyDescent="0.2">
      <c r="B37" t="s">
        <v>31</v>
      </c>
      <c r="K37" s="5">
        <v>686</v>
      </c>
      <c r="T37" s="2">
        <v>1447</v>
      </c>
    </row>
    <row r="38" spans="2:20" x14ac:dyDescent="0.2">
      <c r="B38" t="s">
        <v>41</v>
      </c>
      <c r="K38" s="5">
        <v>305</v>
      </c>
      <c r="T38" s="2">
        <v>599</v>
      </c>
    </row>
    <row r="39" spans="2:20" x14ac:dyDescent="0.2">
      <c r="B39" t="s">
        <v>36</v>
      </c>
      <c r="K39" s="5">
        <f>SUM(K30:K38)</f>
        <v>10993</v>
      </c>
      <c r="T39" s="2">
        <f>SUM(T30:T38)</f>
        <v>18207</v>
      </c>
    </row>
    <row r="41" spans="2:20" x14ac:dyDescent="0.2">
      <c r="B41" t="s">
        <v>44</v>
      </c>
      <c r="K41" s="5">
        <v>166</v>
      </c>
      <c r="T41" s="2">
        <v>296</v>
      </c>
    </row>
    <row r="42" spans="2:20" x14ac:dyDescent="0.2">
      <c r="B42" t="s">
        <v>45</v>
      </c>
      <c r="K42" s="5">
        <v>661</v>
      </c>
      <c r="T42" s="2">
        <v>1163</v>
      </c>
    </row>
    <row r="43" spans="2:20" x14ac:dyDescent="0.2">
      <c r="B43" t="s">
        <v>46</v>
      </c>
      <c r="K43" s="5">
        <f>3850+57</f>
        <v>3907</v>
      </c>
      <c r="T43" s="2">
        <f>5615+85</f>
        <v>5700</v>
      </c>
    </row>
    <row r="44" spans="2:20" x14ac:dyDescent="0.2">
      <c r="B44" t="s">
        <v>39</v>
      </c>
      <c r="K44" s="5">
        <f>87+548</f>
        <v>635</v>
      </c>
      <c r="T44" s="2">
        <f>98+669</f>
        <v>767</v>
      </c>
    </row>
    <row r="45" spans="2:20" x14ac:dyDescent="0.2">
      <c r="B45" t="s">
        <v>4</v>
      </c>
      <c r="K45" s="5">
        <f>88+1484</f>
        <v>1572</v>
      </c>
      <c r="T45" s="2">
        <v>1488</v>
      </c>
    </row>
    <row r="46" spans="2:20" x14ac:dyDescent="0.2">
      <c r="B46" t="s">
        <v>47</v>
      </c>
      <c r="K46" s="5">
        <v>55</v>
      </c>
      <c r="T46" s="2">
        <v>127</v>
      </c>
    </row>
    <row r="47" spans="2:20" x14ac:dyDescent="0.2">
      <c r="B47" t="s">
        <v>43</v>
      </c>
      <c r="K47" s="5">
        <v>3997</v>
      </c>
      <c r="T47" s="2">
        <v>8666</v>
      </c>
    </row>
    <row r="48" spans="2:20" x14ac:dyDescent="0.2">
      <c r="B48" t="s">
        <v>42</v>
      </c>
      <c r="K48" s="5">
        <f>SUM(K41:K47)</f>
        <v>10993</v>
      </c>
      <c r="T48" s="2">
        <f>SUM(T41:T47)</f>
        <v>18207</v>
      </c>
    </row>
    <row r="51" spans="2:20" x14ac:dyDescent="0.2">
      <c r="B51" t="s">
        <v>49</v>
      </c>
      <c r="K51" s="5">
        <f>+Model!K24</f>
        <v>75</v>
      </c>
      <c r="T51" s="2">
        <f>+T24</f>
        <v>262</v>
      </c>
    </row>
    <row r="52" spans="2:20" x14ac:dyDescent="0.2">
      <c r="B52" t="s">
        <v>50</v>
      </c>
      <c r="K52" s="3">
        <v>75</v>
      </c>
      <c r="T52">
        <v>262</v>
      </c>
    </row>
    <row r="53" spans="2:20" x14ac:dyDescent="0.2">
      <c r="B53" t="s">
        <v>51</v>
      </c>
      <c r="K53" s="3">
        <v>101</v>
      </c>
      <c r="T53">
        <v>136</v>
      </c>
    </row>
    <row r="54" spans="2:20" x14ac:dyDescent="0.2">
      <c r="B54" t="s">
        <v>52</v>
      </c>
      <c r="K54" s="3">
        <v>83</v>
      </c>
      <c r="T54">
        <v>132</v>
      </c>
    </row>
    <row r="55" spans="2:20" x14ac:dyDescent="0.2">
      <c r="B55" t="s">
        <v>53</v>
      </c>
      <c r="K55" s="3">
        <v>325</v>
      </c>
      <c r="T55">
        <v>444</v>
      </c>
    </row>
    <row r="56" spans="2:20" x14ac:dyDescent="0.2">
      <c r="B56" t="s">
        <v>31</v>
      </c>
      <c r="K56" s="3">
        <v>-2</v>
      </c>
      <c r="T56">
        <v>24</v>
      </c>
    </row>
    <row r="57" spans="2:20" x14ac:dyDescent="0.2">
      <c r="B57" t="s">
        <v>41</v>
      </c>
      <c r="K57" s="3">
        <v>15</v>
      </c>
      <c r="T57">
        <v>-7</v>
      </c>
    </row>
    <row r="58" spans="2:20" x14ac:dyDescent="0.2">
      <c r="B58" t="s">
        <v>54</v>
      </c>
      <c r="K58" s="3">
        <f>562-137-46+69+21-203</f>
        <v>266</v>
      </c>
      <c r="T58">
        <f>-216-141-146+65-82+149</f>
        <v>-371</v>
      </c>
    </row>
    <row r="59" spans="2:20" x14ac:dyDescent="0.2">
      <c r="B59" t="s">
        <v>55</v>
      </c>
      <c r="K59" s="5">
        <f>SUM(K52:K58)</f>
        <v>863</v>
      </c>
      <c r="T59">
        <f>SUM(T52:T58)</f>
        <v>620</v>
      </c>
    </row>
    <row r="61" spans="2:20" x14ac:dyDescent="0.2">
      <c r="B61" t="s">
        <v>56</v>
      </c>
      <c r="K61" s="3">
        <v>-93</v>
      </c>
      <c r="T61">
        <v>-262</v>
      </c>
    </row>
    <row r="62" spans="2:20" x14ac:dyDescent="0.2">
      <c r="B62" t="s">
        <v>101</v>
      </c>
      <c r="T62">
        <f>-31-9</f>
        <v>-40</v>
      </c>
    </row>
    <row r="63" spans="2:20" x14ac:dyDescent="0.2">
      <c r="B63" t="s">
        <v>57</v>
      </c>
      <c r="K63" s="3">
        <f>-662-101+577-1</f>
        <v>-187</v>
      </c>
      <c r="T63">
        <f>-1055-46+1040-8</f>
        <v>-69</v>
      </c>
    </row>
    <row r="64" spans="2:20" x14ac:dyDescent="0.2">
      <c r="B64" t="s">
        <v>58</v>
      </c>
      <c r="K64" s="3">
        <f>SUM(K61:K63)</f>
        <v>-280</v>
      </c>
      <c r="T64">
        <f>SUM(T61:T63)</f>
        <v>-371</v>
      </c>
    </row>
    <row r="66" spans="2:20" x14ac:dyDescent="0.2">
      <c r="B66" t="s">
        <v>59</v>
      </c>
      <c r="K66" s="3">
        <v>-6</v>
      </c>
      <c r="T66">
        <v>0</v>
      </c>
    </row>
    <row r="67" spans="2:20" x14ac:dyDescent="0.2">
      <c r="B67" t="s">
        <v>60</v>
      </c>
      <c r="K67" s="3">
        <v>105</v>
      </c>
      <c r="T67">
        <v>-137</v>
      </c>
    </row>
    <row r="68" spans="2:20" x14ac:dyDescent="0.2">
      <c r="B68" t="s">
        <v>31</v>
      </c>
      <c r="K68" s="3">
        <v>-150</v>
      </c>
      <c r="T68">
        <v>0</v>
      </c>
    </row>
    <row r="69" spans="2:20" x14ac:dyDescent="0.2">
      <c r="B69" t="s">
        <v>61</v>
      </c>
      <c r="K69" s="3">
        <f>SUM(K66:K68)</f>
        <v>-51</v>
      </c>
      <c r="T69">
        <f>SUM(T66:T68)</f>
        <v>-137</v>
      </c>
    </row>
    <row r="70" spans="2:20" x14ac:dyDescent="0.2">
      <c r="B70" t="s">
        <v>62</v>
      </c>
      <c r="K70" s="3">
        <v>-5</v>
      </c>
      <c r="T70">
        <v>-9</v>
      </c>
    </row>
    <row r="71" spans="2:20" x14ac:dyDescent="0.2">
      <c r="B71" t="s">
        <v>63</v>
      </c>
      <c r="K71" s="5">
        <f>+K69+K70+K64+K59</f>
        <v>527</v>
      </c>
      <c r="T71">
        <f>+T69+T64+T59+T70</f>
        <v>103</v>
      </c>
    </row>
  </sheetData>
  <phoneticPr fontId="5" type="noConversion"/>
  <hyperlinks>
    <hyperlink ref="A1" location="Main!A1" display="Main" xr:uid="{A9151361-E246-479F-86B4-617E3B597693}"/>
  </hyperlink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Jefferson Hwang</cp:lastModifiedBy>
  <dcterms:created xsi:type="dcterms:W3CDTF">2022-07-26T02:29:14Z</dcterms:created>
  <dcterms:modified xsi:type="dcterms:W3CDTF">2026-04-24T18:56:36Z</dcterms:modified>
</cp:coreProperties>
</file>