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BC312948-6136-4499-B8F3-7111AD0C7394}" xr6:coauthVersionLast="47" xr6:coauthVersionMax="47" xr10:uidLastSave="{00000000-0000-0000-0000-000000000000}"/>
  <bookViews>
    <workbookView xWindow="14235" yWindow="90" windowWidth="26190" windowHeight="20805" xr2:uid="{97D82AA5-E811-4F83-BAF3-60D1AC66FB0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2" i="2" l="1"/>
  <c r="W9" i="2"/>
  <c r="W8" i="2" s="1"/>
  <c r="U9" i="2"/>
  <c r="K24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Q25" i="2"/>
  <c r="P25" i="2"/>
  <c r="O25" i="2"/>
  <c r="N25" i="2"/>
  <c r="M25" i="2"/>
  <c r="L25" i="2"/>
  <c r="K25" i="2"/>
  <c r="J25" i="2"/>
  <c r="I25" i="2"/>
  <c r="V9" i="2"/>
  <c r="N18" i="2"/>
  <c r="N19" i="2"/>
  <c r="N15" i="2"/>
  <c r="N16" i="2" s="1"/>
  <c r="N11" i="2"/>
  <c r="J21" i="2"/>
  <c r="J20" i="2"/>
  <c r="J18" i="2"/>
  <c r="J16" i="2"/>
  <c r="J15" i="2"/>
  <c r="J11" i="2"/>
  <c r="N24" i="2"/>
  <c r="M24" i="2"/>
  <c r="I21" i="2"/>
  <c r="I20" i="2"/>
  <c r="I19" i="2"/>
  <c r="I18" i="2"/>
  <c r="I16" i="2"/>
  <c r="I15" i="2"/>
  <c r="I11" i="2"/>
  <c r="M21" i="2"/>
  <c r="M20" i="2"/>
  <c r="M19" i="2"/>
  <c r="M18" i="2"/>
  <c r="M16" i="2"/>
  <c r="M15" i="2"/>
  <c r="M11" i="2"/>
  <c r="X9" i="2" l="1"/>
  <c r="N20" i="2"/>
  <c r="N21" i="2" s="1"/>
  <c r="Y9" i="2" l="1"/>
  <c r="X8" i="2"/>
  <c r="Z9" i="2" l="1"/>
  <c r="Y8" i="2"/>
  <c r="Q24" i="2"/>
  <c r="Q9" i="2"/>
  <c r="V8" i="2"/>
  <c r="U8" i="2"/>
  <c r="W5" i="2"/>
  <c r="W6" i="2" s="1"/>
  <c r="V5" i="2"/>
  <c r="V6" i="2" s="1"/>
  <c r="U5" i="2"/>
  <c r="P6" i="2"/>
  <c r="O6" i="2"/>
  <c r="N6" i="2"/>
  <c r="M6" i="2"/>
  <c r="L6" i="2"/>
  <c r="K6" i="2"/>
  <c r="J6" i="2"/>
  <c r="I6" i="2"/>
  <c r="H6" i="2"/>
  <c r="G6" i="2"/>
  <c r="F6" i="2"/>
  <c r="W3" i="2"/>
  <c r="W4" i="2" s="1"/>
  <c r="V3" i="2"/>
  <c r="V4" i="2" s="1"/>
  <c r="U3" i="2"/>
  <c r="P4" i="2"/>
  <c r="O4" i="2"/>
  <c r="N4" i="2"/>
  <c r="M4" i="2"/>
  <c r="L4" i="2"/>
  <c r="K4" i="2"/>
  <c r="J4" i="2"/>
  <c r="I4" i="2"/>
  <c r="H4" i="2"/>
  <c r="G4" i="2"/>
  <c r="F4" i="2"/>
  <c r="P28" i="2"/>
  <c r="O28" i="2"/>
  <c r="O24" i="2"/>
  <c r="O15" i="2"/>
  <c r="O11" i="2"/>
  <c r="O26" i="2" s="1"/>
  <c r="K15" i="2"/>
  <c r="K11" i="2"/>
  <c r="K26" i="2" s="1"/>
  <c r="P24" i="2"/>
  <c r="P15" i="2"/>
  <c r="P11" i="2"/>
  <c r="H37" i="2"/>
  <c r="H38" i="2" s="1"/>
  <c r="L37" i="2"/>
  <c r="L38" i="2" s="1"/>
  <c r="L24" i="2"/>
  <c r="H15" i="2"/>
  <c r="L15" i="2"/>
  <c r="L11" i="2"/>
  <c r="L26" i="2" s="1"/>
  <c r="H11" i="2"/>
  <c r="H26" i="2" s="1"/>
  <c r="J4" i="1"/>
  <c r="J7" i="1" s="1"/>
  <c r="Z8" i="2" l="1"/>
  <c r="AA9" i="2"/>
  <c r="P16" i="2"/>
  <c r="P18" i="2" s="1"/>
  <c r="P20" i="2" s="1"/>
  <c r="P21" i="2" s="1"/>
  <c r="P26" i="2"/>
  <c r="K16" i="2"/>
  <c r="K18" i="2" s="1"/>
  <c r="K20" i="2" s="1"/>
  <c r="K21" i="2" s="1"/>
  <c r="O16" i="2"/>
  <c r="O18" i="2" s="1"/>
  <c r="O20" i="2" s="1"/>
  <c r="O21" i="2" s="1"/>
  <c r="H16" i="2"/>
  <c r="H18" i="2" s="1"/>
  <c r="H20" i="2" s="1"/>
  <c r="L16" i="2"/>
  <c r="L18" i="2" s="1"/>
  <c r="L20" i="2" s="1"/>
  <c r="AB9" i="2" l="1"/>
  <c r="AA8" i="2"/>
  <c r="H21" i="2"/>
  <c r="H30" i="2"/>
  <c r="L21" i="2"/>
  <c r="L30" i="2"/>
  <c r="AC9" i="2" l="1"/>
  <c r="AB8" i="2"/>
  <c r="AD9" i="2" l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AC8" i="2"/>
  <c r="U41" i="2" l="1"/>
  <c r="U43" i="2" s="1"/>
  <c r="U44" i="2" s="1"/>
</calcChain>
</file>

<file path=xl/sharedStrings.xml><?xml version="1.0" encoding="utf-8"?>
<sst xmlns="http://schemas.openxmlformats.org/spreadsheetml/2006/main" count="74" uniqueCount="72">
  <si>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</si>
  <si>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</si>
  <si>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</si>
  <si>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</si>
  <si>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</si>
  <si>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</si>
  <si>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</si>
  <si>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</si>
  <si>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</si>
  <si>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</si>
  <si>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</si>
  <si>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</si>
  <si>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</si>
  <si>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</si>
  <si>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</si>
  <si>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</si>
  <si>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</si>
  <si>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</si>
  <si>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</si>
  <si>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</si>
  <si>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Operating Expenses</t>
  </si>
  <si>
    <t>Operating Income</t>
  </si>
  <si>
    <t>COGS</t>
  </si>
  <si>
    <t>Gross Profit</t>
  </si>
  <si>
    <t>R&amp;D</t>
  </si>
  <si>
    <t>S&amp;M</t>
  </si>
  <si>
    <t>G&amp;A</t>
  </si>
  <si>
    <t>Revenue y/y</t>
  </si>
  <si>
    <t>Gross Margin</t>
  </si>
  <si>
    <t>Interest Income</t>
  </si>
  <si>
    <t>Pretax Income</t>
  </si>
  <si>
    <t>Taxes</t>
  </si>
  <si>
    <t>Net Income</t>
  </si>
  <si>
    <t>EPS</t>
  </si>
  <si>
    <t>Model NI</t>
  </si>
  <si>
    <t>Reported NI</t>
  </si>
  <si>
    <t>CFFO</t>
  </si>
  <si>
    <t>WC</t>
  </si>
  <si>
    <t>Other</t>
  </si>
  <si>
    <t>SBC</t>
  </si>
  <si>
    <t>Lease</t>
  </si>
  <si>
    <t>D&amp;A</t>
  </si>
  <si>
    <t>Amort of premium</t>
  </si>
  <si>
    <t>DAU</t>
  </si>
  <si>
    <t>WAU</t>
  </si>
  <si>
    <t>FY22</t>
  </si>
  <si>
    <t>FY23</t>
  </si>
  <si>
    <t>FY24</t>
  </si>
  <si>
    <t>FY25</t>
  </si>
  <si>
    <t>FY26</t>
  </si>
  <si>
    <t>FCF</t>
  </si>
  <si>
    <t>Q125</t>
  </si>
  <si>
    <t>Q225</t>
  </si>
  <si>
    <t>Q325</t>
  </si>
  <si>
    <t>FCF % y/y</t>
  </si>
  <si>
    <t>WAU %</t>
  </si>
  <si>
    <t>DAU %</t>
  </si>
  <si>
    <t>Q425</t>
  </si>
  <si>
    <t>Revenue Growth %</t>
  </si>
  <si>
    <t>Growth %</t>
  </si>
  <si>
    <t>Terminal %</t>
  </si>
  <si>
    <t>Discount %</t>
  </si>
  <si>
    <t>NPV</t>
  </si>
  <si>
    <t>Share Price</t>
  </si>
  <si>
    <t>Delta</t>
  </si>
  <si>
    <t>Seq Rev %</t>
  </si>
  <si>
    <t>FY27</t>
  </si>
  <si>
    <t>FY28</t>
  </si>
  <si>
    <t>FY29</t>
  </si>
  <si>
    <t>FY30</t>
  </si>
  <si>
    <t>FY31</t>
  </si>
  <si>
    <t>Realistic?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</si>
</sst>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1" fontId="0" fillId="0" borderId="0" xfId="0" applyNumberFormat="1"/>
    <xf numFmtId="0" fontId="1" fillId="2" borderId="0" xfId="0" applyFont="1" applyFill="1"/>
    <xf numFmtId="0" fontId="0" fillId="2" borderId="0" xfId="0" applyFill="1" applyAlignment="1">
      <alignment horizontal="right"/>
    </xf>
    <xf numFmtId="0" fontId="0" fillId="2" borderId="0" xfId="0" applyFill="1"/>
    <xf numFmtId="1" fontId="0" fillId="2" borderId="0" xfId="0" applyNumberFormat="1" applyFill="1"/>
    <xf numFmtId="3" fontId="1" fillId="3" borderId="0" xfId="0" applyNumberFormat="1" applyFont="1" applyFill="1"/>
    <xf numFmtId="3" fontId="1" fillId="3" borderId="0" xfId="0" applyNumberFormat="1" applyFont="1" applyFill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/>
    <xf numFmtId="9" fontId="0" fillId="0" borderId="0" xfId="2" applyFont="1" applyAlignment="1">
      <alignment horizontal="right"/>
    </xf>
    <xf numFmtId="9" fontId="0" fillId="0" borderId="0" xfId="2" applyFont="1"/>
    <xf numFmtId="1" fontId="0" fillId="2" borderId="0" xfId="0" applyNumberFormat="1" applyFill="1" applyAlignment="1">
      <alignment horizontal="right"/>
    </xf>
    <xf numFmtId="0" fontId="0" fillId="0" borderId="1" xfId="0" applyBorder="1"/>
    <xf numFmtId="9" fontId="0" fillId="0" borderId="1" xfId="0" applyNumberFormat="1" applyBorder="1"/>
    <xf numFmtId="8" fontId="0" fillId="0" borderId="1" xfId="0" applyNumberFormat="1" applyBorder="1"/>
    <xf numFmtId="1" fontId="0" fillId="0" borderId="1" xfId="0" applyNumberFormat="1" applyBorder="1"/>
    <xf numFmtId="9" fontId="1" fillId="4" borderId="1" xfId="2" applyFont="1" applyFill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57E25D73-B337-4451-A54A-BB19E3AB90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32657</xdr:colOff>
      <xdr:row>0</xdr:row>
      <xdr:rowOff>43543</xdr:rowOff>
    </xdr:from>
    <xdr:to>
      <xdr:col>12</xdr:col>
      <xdr:colOff>32657</xdr:colOff>
      <xdr:row>43</xdr:row>
      <xdr:rowOff>43543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79B0EBA-AA8A-A5E5-0619-630CE3208FB4}"/>
            </a:ext>
          </a:extLst>
        </xdr:cNvPr>
        <xdr:cNvCxnSpPr/>
      </xdr:nvCxnSpPr>
      <xdr:spPr>
        <a:xfrm>
          <a:off x="7668986" y="43543"/>
          <a:ext cx="0" cy="60415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3D00-E886-4A7B-A7C0-AFFB30A0569F}">
  <dimension ref="I2:K7"/>
  <sheetViews>
    <sheetView tabSelected="1" topLeftCell="C1" zoomScale="175" zoomScaleNormal="175" workbookViewId="0">
      <selection activeCell="K15" sqref="K15"/>
    </sheetView>
  </sheetViews>
  <sheetFormatPr defaultRowHeight="12.75" x14ac:dyDescent="0.2"/>
  <sheetData>
    <row r="2" spans="9:11" x14ac:dyDescent="0.2">
      <c r="I2" t="s">
        <v>0</v>
      </c>
      <c r="J2">
        <v>225.08</v>
      </c>
    </row>
    <row r="3" spans="9:11" x14ac:dyDescent="0.2">
      <c r="I3" t="s">
        <v>1</v>
      </c>
      <c r="J3" s="1">
        <v>200</v>
      </c>
      <c r="K3" s="2"/>
    </row>
    <row r="4" spans="9:11" x14ac:dyDescent="0.2">
      <c r="I4" t="s">
        <v>2</v>
      </c>
      <c r="J4" s="1">
        <f>+J2*J3</f>
        <v>45016</v>
      </c>
    </row>
    <row r="5" spans="9:11" x14ac:dyDescent="0.2">
      <c r="I5" t="s">
        <v>3</v>
      </c>
      <c r="J5" s="1">
        <v>2060</v>
      </c>
      <c r="K5" s="2"/>
    </row>
    <row r="6" spans="9:11" x14ac:dyDescent="0.2">
      <c r="I6" t="s">
        <v>4</v>
      </c>
      <c r="J6" s="1">
        <v>0.25180000000000002</v>
      </c>
      <c r="K6" s="2"/>
    </row>
    <row r="7" spans="9:11" x14ac:dyDescent="0.2">
      <c r="I7" t="s">
        <v>5</v>
      </c>
      <c r="J7" s="1">
        <f>+J4-J5+J6</f>
        <v>42956.251799999998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65F6-A074-4C53-9A5B-F359AF474E1F}">
  <dimension ref="A1:BB44"/>
  <sheetViews>
    <sheetView zoomScale="170" zoomScaleNormal="170" workbookViewId="0">
      <pane xSplit="2" ySplit="2" topLeftCell="M14" activePane="bottomRight" state="frozen"/>
      <selection pane="topRight" activeCell="C1" sqref="C1"/>
      <selection pane="bottomLeft" activeCell="A3" sqref="A3"/>
      <selection pane="bottomRight" activeCell="U42" sqref="U42"/>
    </sheetView>
  </sheetViews>
  <sheetFormatPr defaultRowHeight="12.75" x14ac:dyDescent="0.2"/>
  <cols>
    <col min="1" max="1" width="5" bestFit="1" customWidth="1"/>
    <col min="2" max="2" width="18.140625" bestFit="1" customWidth="1"/>
    <col min="3" max="14" width="9.140625" style="2"/>
    <col min="20" max="20" width="11.5703125" customWidth="1"/>
    <col min="21" max="21" width="11.42578125" bestFit="1" customWidth="1"/>
  </cols>
  <sheetData>
    <row r="1" spans="1:54" x14ac:dyDescent="0.2">
      <c r="A1" s="6" t="s">
        <v>7</v>
      </c>
    </row>
    <row r="2" spans="1:54" x14ac:dyDescent="0.2"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6</v>
      </c>
      <c r="M2" s="2" t="s">
        <v>18</v>
      </c>
      <c r="N2" s="2" t="s">
        <v>19</v>
      </c>
      <c r="O2" s="2" t="s">
        <v>51</v>
      </c>
      <c r="P2" s="2" t="s">
        <v>52</v>
      </c>
      <c r="Q2" s="2" t="s">
        <v>53</v>
      </c>
      <c r="R2" s="2" t="s">
        <v>57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70</v>
      </c>
    </row>
    <row r="3" spans="1:54" x14ac:dyDescent="0.2">
      <c r="B3" t="s">
        <v>44</v>
      </c>
      <c r="E3" s="14">
        <v>208.8</v>
      </c>
      <c r="F3" s="14">
        <v>207.3</v>
      </c>
      <c r="G3" s="14">
        <v>218</v>
      </c>
      <c r="H3" s="14">
        <v>218.1</v>
      </c>
      <c r="I3" s="14">
        <v>239.1</v>
      </c>
      <c r="J3" s="14">
        <v>267.5</v>
      </c>
      <c r="K3" s="14">
        <v>306.2</v>
      </c>
      <c r="L3" s="14">
        <v>342.3</v>
      </c>
      <c r="M3" s="14">
        <v>365.4</v>
      </c>
      <c r="N3" s="14">
        <v>379.4</v>
      </c>
      <c r="O3" s="14">
        <v>401.3</v>
      </c>
      <c r="P3" s="14">
        <v>416.4</v>
      </c>
      <c r="U3" s="7">
        <f>SUM(G3:J3)</f>
        <v>942.7</v>
      </c>
      <c r="V3" s="7">
        <f>SUM(K3:N3)</f>
        <v>1393.3</v>
      </c>
      <c r="W3" s="7">
        <f>SUM(O3:R3)</f>
        <v>817.7</v>
      </c>
    </row>
    <row r="4" spans="1:54" x14ac:dyDescent="0.2">
      <c r="B4" t="s">
        <v>55</v>
      </c>
      <c r="E4" s="14"/>
      <c r="F4" s="16">
        <f t="shared" ref="F4:P4" si="0">(F3-E3)/E3</f>
        <v>-7.1839080459770114E-3</v>
      </c>
      <c r="G4" s="16">
        <f t="shared" si="0"/>
        <v>5.1616015436565306E-2</v>
      </c>
      <c r="H4" s="16">
        <f t="shared" si="0"/>
        <v>4.5871559633024918E-4</v>
      </c>
      <c r="I4" s="16">
        <f t="shared" si="0"/>
        <v>9.6286107290233847E-2</v>
      </c>
      <c r="J4" s="16">
        <f t="shared" si="0"/>
        <v>0.1187787536595567</v>
      </c>
      <c r="K4" s="16">
        <f t="shared" si="0"/>
        <v>0.14467289719626164</v>
      </c>
      <c r="L4" s="16">
        <f t="shared" si="0"/>
        <v>0.11789679947746579</v>
      </c>
      <c r="M4" s="16">
        <f t="shared" si="0"/>
        <v>6.7484662576687018E-2</v>
      </c>
      <c r="N4" s="16">
        <f t="shared" si="0"/>
        <v>3.8314176245210732E-2</v>
      </c>
      <c r="O4" s="16">
        <f t="shared" si="0"/>
        <v>5.7722720084343794E-2</v>
      </c>
      <c r="P4" s="16">
        <f t="shared" si="0"/>
        <v>3.7627709942686181E-2</v>
      </c>
      <c r="V4" s="17">
        <f>(V3-U3)/U3</f>
        <v>0.47798875570170773</v>
      </c>
      <c r="W4" s="17">
        <f>(W3-V3)/V3</f>
        <v>-0.41311993109883005</v>
      </c>
    </row>
    <row r="5" spans="1:54" x14ac:dyDescent="0.2">
      <c r="B5" t="s">
        <v>43</v>
      </c>
      <c r="E5" s="14">
        <v>57.3</v>
      </c>
      <c r="F5" s="14">
        <v>57.5</v>
      </c>
      <c r="G5" s="14">
        <v>60.3</v>
      </c>
      <c r="H5" s="14">
        <v>60.4</v>
      </c>
      <c r="I5" s="14">
        <v>66</v>
      </c>
      <c r="J5" s="14">
        <v>73.099999999999994</v>
      </c>
      <c r="K5" s="14">
        <v>82.7</v>
      </c>
      <c r="L5" s="14">
        <v>91.2</v>
      </c>
      <c r="M5" s="14">
        <v>97.2</v>
      </c>
      <c r="N5" s="14">
        <v>101.7</v>
      </c>
      <c r="O5" s="14">
        <v>108.1</v>
      </c>
      <c r="P5" s="14">
        <v>110.4</v>
      </c>
      <c r="U5" s="7">
        <f>SUM(G5:J5)</f>
        <v>259.79999999999995</v>
      </c>
      <c r="V5" s="7">
        <f>SUM(K5:N5)</f>
        <v>372.8</v>
      </c>
      <c r="W5" s="7">
        <f>SUM(O5:R5)</f>
        <v>218.5</v>
      </c>
    </row>
    <row r="6" spans="1:54" x14ac:dyDescent="0.2">
      <c r="B6" t="s">
        <v>56</v>
      </c>
      <c r="F6" s="16">
        <f t="shared" ref="F6:P6" si="1">(F5-E5)/E5</f>
        <v>3.4904013961606084E-3</v>
      </c>
      <c r="G6" s="16">
        <f t="shared" si="1"/>
        <v>4.8695652173912994E-2</v>
      </c>
      <c r="H6" s="16">
        <f t="shared" si="1"/>
        <v>1.6583747927031746E-3</v>
      </c>
      <c r="I6" s="16">
        <f t="shared" si="1"/>
        <v>9.27152317880795E-2</v>
      </c>
      <c r="J6" s="16">
        <f t="shared" si="1"/>
        <v>0.10757575757575749</v>
      </c>
      <c r="K6" s="16">
        <f t="shared" si="1"/>
        <v>0.13132694938440506</v>
      </c>
      <c r="L6" s="16">
        <f t="shared" si="1"/>
        <v>0.10278113663845223</v>
      </c>
      <c r="M6" s="16">
        <f t="shared" si="1"/>
        <v>6.5789473684210523E-2</v>
      </c>
      <c r="N6" s="16">
        <f t="shared" si="1"/>
        <v>4.6296296296296294E-2</v>
      </c>
      <c r="O6" s="16">
        <f t="shared" si="1"/>
        <v>6.2930186823992054E-2</v>
      </c>
      <c r="P6" s="16">
        <f t="shared" si="1"/>
        <v>2.1276595744680958E-2</v>
      </c>
      <c r="V6" s="17">
        <f>(V5-U5)/U5</f>
        <v>0.43494996150885323</v>
      </c>
      <c r="W6" s="17">
        <f>(W5-V5)/V5</f>
        <v>-0.41389484978540775</v>
      </c>
    </row>
    <row r="7" spans="1:54" x14ac:dyDescent="0.2"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V7" s="17"/>
      <c r="W7" s="17"/>
    </row>
    <row r="8" spans="1:54" x14ac:dyDescent="0.2">
      <c r="B8" t="s">
        <v>58</v>
      </c>
      <c r="U8" s="17">
        <f t="shared" ref="U8:AC8" si="2">(U9-T9)/T9</f>
        <v>0.20593789419844874</v>
      </c>
      <c r="V8" s="17">
        <f t="shared" si="2"/>
        <v>0.61722263681592049</v>
      </c>
      <c r="W8" s="17">
        <f t="shared" si="2"/>
        <v>0.35000000000000014</v>
      </c>
      <c r="X8" s="17">
        <f t="shared" si="2"/>
        <v>0.35</v>
      </c>
      <c r="Y8" s="17">
        <f t="shared" si="2"/>
        <v>0.35000000000000014</v>
      </c>
      <c r="Z8" s="17">
        <f t="shared" si="2"/>
        <v>0.35000000000000009</v>
      </c>
      <c r="AA8" s="17">
        <f t="shared" si="2"/>
        <v>0.35000000000000009</v>
      </c>
      <c r="AB8" s="17">
        <f t="shared" si="2"/>
        <v>0.35000000000000009</v>
      </c>
      <c r="AC8" s="17">
        <f t="shared" si="2"/>
        <v>1.9999999999999993E-2</v>
      </c>
    </row>
    <row r="9" spans="1:54" s="12" customFormat="1" x14ac:dyDescent="0.2">
      <c r="B9" s="12" t="s">
        <v>8</v>
      </c>
      <c r="C9" s="13"/>
      <c r="D9" s="13"/>
      <c r="E9" s="13"/>
      <c r="F9" s="13"/>
      <c r="G9" s="13">
        <f>804-SUM(H9:J9)</f>
        <v>163.71900000000005</v>
      </c>
      <c r="H9" s="13">
        <v>183.03100000000001</v>
      </c>
      <c r="I9" s="13">
        <v>207.5</v>
      </c>
      <c r="J9" s="13">
        <v>249.75</v>
      </c>
      <c r="K9" s="13">
        <v>242.96299999999999</v>
      </c>
      <c r="L9" s="13">
        <v>281.18400000000003</v>
      </c>
      <c r="M9" s="13">
        <v>348.4</v>
      </c>
      <c r="N9" s="13">
        <v>427.7</v>
      </c>
      <c r="O9" s="12">
        <v>392.36099999999999</v>
      </c>
      <c r="P9" s="12">
        <v>499.62700000000001</v>
      </c>
      <c r="Q9" s="12">
        <f>(535+545)/2</f>
        <v>540</v>
      </c>
      <c r="T9" s="12">
        <v>666.70100000000002</v>
      </c>
      <c r="U9" s="12">
        <f>SUM(G9:J9)</f>
        <v>804</v>
      </c>
      <c r="V9" s="12">
        <f>SUM(K9:N9)</f>
        <v>1300.2470000000001</v>
      </c>
      <c r="W9" s="12">
        <f t="shared" ref="W9:AB9" si="3">V9*(1+$U$38)</f>
        <v>1755.3334500000003</v>
      </c>
      <c r="X9" s="12">
        <f t="shared" si="3"/>
        <v>2369.7001575000004</v>
      </c>
      <c r="Y9" s="12">
        <f t="shared" si="3"/>
        <v>3199.0952126250008</v>
      </c>
      <c r="Z9" s="12">
        <f t="shared" si="3"/>
        <v>4318.7785370437514</v>
      </c>
      <c r="AA9" s="12">
        <f t="shared" si="3"/>
        <v>5830.3510250090649</v>
      </c>
      <c r="AB9" s="12">
        <f t="shared" si="3"/>
        <v>7870.9738837622381</v>
      </c>
      <c r="AC9" s="12">
        <f t="shared" ref="AC9:BB9" si="4">AB9*(1+$U$39)</f>
        <v>8028.3933614374828</v>
      </c>
      <c r="AD9" s="12">
        <f t="shared" si="4"/>
        <v>8188.9612286662323</v>
      </c>
      <c r="AE9" s="12">
        <f t="shared" si="4"/>
        <v>8352.7404532395576</v>
      </c>
      <c r="AF9" s="12">
        <f t="shared" si="4"/>
        <v>8519.7952623043493</v>
      </c>
      <c r="AG9" s="12">
        <f t="shared" si="4"/>
        <v>8690.1911675504361</v>
      </c>
      <c r="AH9" s="12">
        <f t="shared" si="4"/>
        <v>8863.9949909014449</v>
      </c>
      <c r="AI9" s="12">
        <f t="shared" si="4"/>
        <v>9041.2748907194746</v>
      </c>
      <c r="AJ9" s="12">
        <f t="shared" si="4"/>
        <v>9222.100388533865</v>
      </c>
      <c r="AK9" s="12">
        <f t="shared" si="4"/>
        <v>9406.5423963045432</v>
      </c>
      <c r="AL9" s="12">
        <f t="shared" si="4"/>
        <v>9594.6732442306347</v>
      </c>
      <c r="AM9" s="12">
        <f t="shared" si="4"/>
        <v>9786.5667091152482</v>
      </c>
      <c r="AN9" s="12">
        <f t="shared" si="4"/>
        <v>9982.2980432975528</v>
      </c>
      <c r="AO9" s="12">
        <f t="shared" si="4"/>
        <v>10181.944004163504</v>
      </c>
      <c r="AP9" s="12">
        <f t="shared" si="4"/>
        <v>10385.582884246774</v>
      </c>
      <c r="AQ9" s="12">
        <f t="shared" si="4"/>
        <v>10593.294541931709</v>
      </c>
      <c r="AR9" s="12">
        <f t="shared" si="4"/>
        <v>10805.160432770344</v>
      </c>
      <c r="AS9" s="12">
        <f t="shared" si="4"/>
        <v>11021.263641425752</v>
      </c>
      <c r="AT9" s="12">
        <f t="shared" si="4"/>
        <v>11241.688914254268</v>
      </c>
      <c r="AU9" s="12">
        <f t="shared" si="4"/>
        <v>11466.522692539353</v>
      </c>
      <c r="AV9" s="12">
        <f t="shared" si="4"/>
        <v>11695.85314639014</v>
      </c>
      <c r="AW9" s="12">
        <f t="shared" si="4"/>
        <v>11929.770209317943</v>
      </c>
      <c r="AX9" s="12">
        <f t="shared" si="4"/>
        <v>12168.365613504302</v>
      </c>
      <c r="AY9" s="12">
        <f t="shared" si="4"/>
        <v>12411.732925774388</v>
      </c>
      <c r="AZ9" s="12">
        <f t="shared" si="4"/>
        <v>12659.967584289876</v>
      </c>
      <c r="BA9" s="12">
        <f t="shared" si="4"/>
        <v>12913.166935975674</v>
      </c>
      <c r="BB9" s="12">
        <f t="shared" si="4"/>
        <v>13171.430274695187</v>
      </c>
    </row>
    <row r="10" spans="1:54" s="1" customFormat="1" x14ac:dyDescent="0.2">
      <c r="B10" s="1" t="s">
        <v>22</v>
      </c>
      <c r="C10" s="3"/>
      <c r="D10" s="3"/>
      <c r="E10" s="3"/>
      <c r="F10" s="3"/>
      <c r="G10" s="3">
        <f>111.011-SUM(H10:J10)</f>
        <v>26.863</v>
      </c>
      <c r="H10" s="3">
        <v>28.835999999999999</v>
      </c>
      <c r="I10" s="3">
        <v>26.395</v>
      </c>
      <c r="J10" s="3">
        <v>28.917000000000002</v>
      </c>
      <c r="K10" s="3">
        <v>27.616</v>
      </c>
      <c r="L10" s="3">
        <v>29.501000000000001</v>
      </c>
      <c r="M10" s="3">
        <v>34.633000000000003</v>
      </c>
      <c r="N10" s="3">
        <v>31.844999999999999</v>
      </c>
      <c r="O10" s="1">
        <v>37.088999999999999</v>
      </c>
      <c r="P10" s="1">
        <v>45.9</v>
      </c>
    </row>
    <row r="11" spans="1:54" s="1" customFormat="1" x14ac:dyDescent="0.2">
      <c r="B11" s="1" t="s">
        <v>23</v>
      </c>
      <c r="C11" s="3"/>
      <c r="D11" s="3"/>
      <c r="E11" s="3"/>
      <c r="F11" s="3"/>
      <c r="G11" s="3">
        <f t="shared" ref="G11:P11" si="5">+G9-G10</f>
        <v>136.85600000000005</v>
      </c>
      <c r="H11" s="3">
        <f t="shared" si="5"/>
        <v>154.19499999999999</v>
      </c>
      <c r="I11" s="3">
        <f t="shared" si="5"/>
        <v>181.10499999999999</v>
      </c>
      <c r="J11" s="3">
        <f t="shared" si="5"/>
        <v>220.833</v>
      </c>
      <c r="K11" s="3">
        <f t="shared" si="5"/>
        <v>215.34699999999998</v>
      </c>
      <c r="L11" s="3">
        <f t="shared" si="5"/>
        <v>251.68300000000002</v>
      </c>
      <c r="M11" s="3">
        <f t="shared" si="5"/>
        <v>313.767</v>
      </c>
      <c r="N11" s="3">
        <f t="shared" si="5"/>
        <v>395.85500000000002</v>
      </c>
      <c r="O11" s="3">
        <f t="shared" si="5"/>
        <v>355.27199999999999</v>
      </c>
      <c r="P11" s="3">
        <f t="shared" si="5"/>
        <v>453.72700000000003</v>
      </c>
    </row>
    <row r="12" spans="1:54" s="1" customFormat="1" x14ac:dyDescent="0.2">
      <c r="B12" s="1" t="s">
        <v>24</v>
      </c>
      <c r="C12" s="3"/>
      <c r="D12" s="3"/>
      <c r="E12" s="3"/>
      <c r="F12" s="3"/>
      <c r="G12" s="3">
        <f>438.346-SUM(H12:J12)</f>
        <v>108.767</v>
      </c>
      <c r="H12" s="3">
        <v>109.726</v>
      </c>
      <c r="I12" s="3">
        <v>108.285</v>
      </c>
      <c r="J12" s="3">
        <v>111.568</v>
      </c>
      <c r="K12" s="3">
        <v>437.03</v>
      </c>
      <c r="L12" s="3">
        <v>142.77699999999999</v>
      </c>
      <c r="M12" s="3">
        <v>166.70099999999999</v>
      </c>
      <c r="N12" s="3">
        <v>188.64400000000001</v>
      </c>
      <c r="O12" s="1">
        <v>191.27099999999999</v>
      </c>
      <c r="P12" s="1">
        <v>196.61</v>
      </c>
    </row>
    <row r="13" spans="1:54" s="1" customFormat="1" x14ac:dyDescent="0.2">
      <c r="B13" s="1" t="s">
        <v>25</v>
      </c>
      <c r="C13" s="3"/>
      <c r="D13" s="3"/>
      <c r="E13" s="3"/>
      <c r="F13" s="3"/>
      <c r="G13" s="3">
        <f>230.175-SUM(H13:J13)</f>
        <v>57.911000000000001</v>
      </c>
      <c r="H13" s="3">
        <v>59.225000000000001</v>
      </c>
      <c r="I13" s="3">
        <v>55.113999999999997</v>
      </c>
      <c r="J13" s="3">
        <v>57.924999999999997</v>
      </c>
      <c r="K13" s="3">
        <v>124.095</v>
      </c>
      <c r="L13" s="3">
        <v>71.457999999999998</v>
      </c>
      <c r="M13" s="3">
        <v>74.510000000000005</v>
      </c>
      <c r="N13" s="3">
        <v>80.516000000000005</v>
      </c>
      <c r="O13" s="1">
        <v>90.685000000000002</v>
      </c>
      <c r="P13" s="1">
        <v>120.619</v>
      </c>
    </row>
    <row r="14" spans="1:54" s="1" customFormat="1" x14ac:dyDescent="0.2">
      <c r="B14" s="1" t="s">
        <v>26</v>
      </c>
      <c r="C14" s="3"/>
      <c r="D14" s="3"/>
      <c r="E14" s="3"/>
      <c r="F14" s="3"/>
      <c r="G14" s="3">
        <f>164.658-SUM(H14:J14)</f>
        <v>40.800999999999988</v>
      </c>
      <c r="H14" s="3">
        <v>38.232999999999997</v>
      </c>
      <c r="I14" s="3">
        <v>37.298999999999999</v>
      </c>
      <c r="J14" s="3">
        <v>48.325000000000003</v>
      </c>
      <c r="K14" s="3">
        <v>243.477</v>
      </c>
      <c r="L14" s="3">
        <v>68.486999999999995</v>
      </c>
      <c r="M14" s="3">
        <v>65.653000000000006</v>
      </c>
      <c r="N14" s="3">
        <v>73.83</v>
      </c>
      <c r="O14" s="1">
        <v>69.412999999999997</v>
      </c>
      <c r="P14" s="1">
        <v>68.787000000000006</v>
      </c>
    </row>
    <row r="15" spans="1:54" s="1" customFormat="1" x14ac:dyDescent="0.2">
      <c r="B15" s="1" t="s">
        <v>20</v>
      </c>
      <c r="C15" s="3"/>
      <c r="D15" s="3"/>
      <c r="E15" s="3"/>
      <c r="F15" s="3"/>
      <c r="G15" s="3">
        <f t="shared" ref="G15:P15" si="6">SUM(G12:G14)</f>
        <v>207.47899999999998</v>
      </c>
      <c r="H15" s="3">
        <f t="shared" si="6"/>
        <v>207.184</v>
      </c>
      <c r="I15" s="3">
        <f t="shared" si="6"/>
        <v>200.69800000000001</v>
      </c>
      <c r="J15" s="3">
        <f t="shared" si="6"/>
        <v>217.81799999999998</v>
      </c>
      <c r="K15" s="3">
        <f t="shared" si="6"/>
        <v>804.60199999999998</v>
      </c>
      <c r="L15" s="3">
        <f t="shared" si="6"/>
        <v>282.72199999999998</v>
      </c>
      <c r="M15" s="3">
        <f t="shared" si="6"/>
        <v>306.86400000000003</v>
      </c>
      <c r="N15" s="3">
        <f t="shared" si="6"/>
        <v>342.99</v>
      </c>
      <c r="O15" s="3">
        <f t="shared" si="6"/>
        <v>351.36900000000003</v>
      </c>
      <c r="P15" s="3">
        <f t="shared" si="6"/>
        <v>386.01600000000008</v>
      </c>
      <c r="T15" s="3"/>
      <c r="U15" s="3"/>
      <c r="V15" s="3"/>
    </row>
    <row r="16" spans="1:54" s="1" customFormat="1" x14ac:dyDescent="0.2">
      <c r="B16" s="1" t="s">
        <v>21</v>
      </c>
      <c r="C16" s="3"/>
      <c r="D16" s="3"/>
      <c r="E16" s="3"/>
      <c r="F16" s="3"/>
      <c r="G16" s="3">
        <f t="shared" ref="G16:P16" si="7">+G11-G15</f>
        <v>-70.622999999999934</v>
      </c>
      <c r="H16" s="3">
        <f t="shared" si="7"/>
        <v>-52.989000000000004</v>
      </c>
      <c r="I16" s="3">
        <f t="shared" si="7"/>
        <v>-19.593000000000018</v>
      </c>
      <c r="J16" s="3">
        <f t="shared" si="7"/>
        <v>3.0150000000000148</v>
      </c>
      <c r="K16" s="3">
        <f t="shared" si="7"/>
        <v>-589.255</v>
      </c>
      <c r="L16" s="3">
        <f t="shared" si="7"/>
        <v>-31.038999999999959</v>
      </c>
      <c r="M16" s="3">
        <f t="shared" si="7"/>
        <v>6.9029999999999632</v>
      </c>
      <c r="N16" s="3">
        <f t="shared" si="7"/>
        <v>52.865000000000009</v>
      </c>
      <c r="O16" s="3">
        <f t="shared" si="7"/>
        <v>3.9029999999999632</v>
      </c>
      <c r="P16" s="3">
        <f t="shared" si="7"/>
        <v>67.710999999999956</v>
      </c>
      <c r="T16" s="3"/>
      <c r="U16" s="3"/>
      <c r="V16" s="3"/>
    </row>
    <row r="17" spans="2:22" s="1" customFormat="1" x14ac:dyDescent="0.2">
      <c r="B17" s="1" t="s">
        <v>29</v>
      </c>
      <c r="C17" s="3"/>
      <c r="D17" s="3"/>
      <c r="E17" s="3"/>
      <c r="F17" s="3"/>
      <c r="G17" s="3">
        <f>53.138-SUM(H17:J17)</f>
        <v>10.723999999999997</v>
      </c>
      <c r="H17" s="3">
        <v>13.305999999999999</v>
      </c>
      <c r="I17" s="3">
        <v>12.647</v>
      </c>
      <c r="J17" s="3">
        <v>16.460999999999999</v>
      </c>
      <c r="K17" s="3">
        <v>14.554</v>
      </c>
      <c r="L17" s="3">
        <v>20.724</v>
      </c>
      <c r="M17" s="3">
        <v>22.968</v>
      </c>
      <c r="N17" s="3">
        <v>17.114999999999998</v>
      </c>
      <c r="O17" s="1">
        <v>20.533999999999999</v>
      </c>
      <c r="P17" s="1">
        <v>21.146999999999998</v>
      </c>
    </row>
    <row r="18" spans="2:22" s="1" customFormat="1" x14ac:dyDescent="0.2">
      <c r="B18" s="1" t="s">
        <v>30</v>
      </c>
      <c r="C18" s="3"/>
      <c r="D18" s="3"/>
      <c r="E18" s="3"/>
      <c r="F18" s="3"/>
      <c r="G18" s="3">
        <f t="shared" ref="G18:P18" si="8">+G16+G17</f>
        <v>-59.898999999999937</v>
      </c>
      <c r="H18" s="3">
        <f t="shared" si="8"/>
        <v>-39.683000000000007</v>
      </c>
      <c r="I18" s="3">
        <f t="shared" si="8"/>
        <v>-6.9460000000000175</v>
      </c>
      <c r="J18" s="3">
        <f t="shared" si="8"/>
        <v>19.476000000000013</v>
      </c>
      <c r="K18" s="3">
        <f t="shared" si="8"/>
        <v>-574.70100000000002</v>
      </c>
      <c r="L18" s="3">
        <f t="shared" si="8"/>
        <v>-10.314999999999959</v>
      </c>
      <c r="M18" s="3">
        <f t="shared" si="8"/>
        <v>29.870999999999963</v>
      </c>
      <c r="N18" s="3">
        <f t="shared" si="8"/>
        <v>69.98</v>
      </c>
      <c r="O18" s="3">
        <f t="shared" si="8"/>
        <v>24.436999999999962</v>
      </c>
      <c r="P18" s="3">
        <f t="shared" si="8"/>
        <v>88.857999999999947</v>
      </c>
    </row>
    <row r="19" spans="2:22" x14ac:dyDescent="0.2">
      <c r="B19" s="1" t="s">
        <v>31</v>
      </c>
      <c r="G19" s="3">
        <f>3.801-SUM(H19:J19)</f>
        <v>0.98800000000000043</v>
      </c>
      <c r="H19" s="3">
        <v>1.4259999999999999</v>
      </c>
      <c r="I19" s="14">
        <f>0.445</f>
        <v>0.44500000000000001</v>
      </c>
      <c r="J19" s="14">
        <v>0.94199999999999995</v>
      </c>
      <c r="K19" s="14">
        <v>0.36499999999999999</v>
      </c>
      <c r="L19" s="3">
        <v>-0.216</v>
      </c>
      <c r="M19" s="14">
        <f>-0.031</f>
        <v>-3.1E-2</v>
      </c>
      <c r="N19" s="3">
        <f>-1.049</f>
        <v>-1.0489999999999999</v>
      </c>
      <c r="O19" s="7">
        <v>-1.7210000000000001</v>
      </c>
      <c r="P19" s="7">
        <v>-0.439</v>
      </c>
    </row>
    <row r="20" spans="2:22" x14ac:dyDescent="0.2">
      <c r="B20" s="1" t="s">
        <v>32</v>
      </c>
      <c r="G20" s="3">
        <f t="shared" ref="G20:P20" si="9">+G18-G19</f>
        <v>-60.886999999999937</v>
      </c>
      <c r="H20" s="3">
        <f t="shared" si="9"/>
        <v>-41.109000000000009</v>
      </c>
      <c r="I20" s="3">
        <f t="shared" si="9"/>
        <v>-7.3910000000000178</v>
      </c>
      <c r="J20" s="3">
        <f t="shared" si="9"/>
        <v>18.534000000000013</v>
      </c>
      <c r="K20" s="3">
        <f t="shared" si="9"/>
        <v>-575.06600000000003</v>
      </c>
      <c r="L20" s="3">
        <f t="shared" si="9"/>
        <v>-10.098999999999959</v>
      </c>
      <c r="M20" s="3">
        <f t="shared" si="9"/>
        <v>29.901999999999962</v>
      </c>
      <c r="N20" s="3">
        <f t="shared" si="9"/>
        <v>71.029000000000011</v>
      </c>
      <c r="O20" s="3">
        <f t="shared" si="9"/>
        <v>26.157999999999962</v>
      </c>
      <c r="P20" s="3">
        <f t="shared" si="9"/>
        <v>89.29699999999994</v>
      </c>
    </row>
    <row r="21" spans="2:22" x14ac:dyDescent="0.2">
      <c r="B21" s="1" t="s">
        <v>33</v>
      </c>
      <c r="G21" s="4">
        <f t="shared" ref="G21:P21" si="10">+G20/G22</f>
        <v>-1.0295733953919295</v>
      </c>
      <c r="H21" s="4">
        <f t="shared" si="10"/>
        <v>-0.70261996626179901</v>
      </c>
      <c r="I21" s="4">
        <f t="shared" si="10"/>
        <v>-0.12557855805333998</v>
      </c>
      <c r="J21" s="4">
        <f t="shared" si="10"/>
        <v>0.30361329802656128</v>
      </c>
      <c r="K21" s="4">
        <f t="shared" si="10"/>
        <v>-8.1871009673451596</v>
      </c>
      <c r="L21" s="4">
        <f t="shared" si="10"/>
        <v>-6.1435891905339497E-2</v>
      </c>
      <c r="M21" s="4">
        <f t="shared" si="10"/>
        <v>0.15547809185671854</v>
      </c>
      <c r="N21" s="4">
        <f t="shared" si="10"/>
        <v>0.35682607543834444</v>
      </c>
      <c r="O21" s="4">
        <f t="shared" si="10"/>
        <v>0.12996135147742433</v>
      </c>
      <c r="P21" s="4">
        <f t="shared" si="10"/>
        <v>0.44755368435187404</v>
      </c>
    </row>
    <row r="22" spans="2:22" s="1" customFormat="1" x14ac:dyDescent="0.2">
      <c r="B22" s="1" t="s">
        <v>1</v>
      </c>
      <c r="C22" s="3"/>
      <c r="D22" s="3"/>
      <c r="E22" s="3"/>
      <c r="F22" s="3"/>
      <c r="G22" s="3">
        <v>59.138086000000001</v>
      </c>
      <c r="H22" s="3">
        <v>58.508158000000002</v>
      </c>
      <c r="I22" s="3">
        <v>58.855589000000002</v>
      </c>
      <c r="J22" s="3">
        <v>61.044756999999997</v>
      </c>
      <c r="K22" s="3">
        <v>70.240492000000003</v>
      </c>
      <c r="L22" s="3">
        <v>164.38273599999999</v>
      </c>
      <c r="M22" s="3">
        <v>192.32291599999999</v>
      </c>
      <c r="N22" s="3">
        <v>199.057762</v>
      </c>
      <c r="O22" s="1">
        <v>201.27522300000001</v>
      </c>
      <c r="P22" s="1">
        <v>199.52243300000001</v>
      </c>
    </row>
    <row r="24" spans="2:22" x14ac:dyDescent="0.2">
      <c r="B24" s="1" t="s">
        <v>27</v>
      </c>
      <c r="K24" s="5">
        <f t="shared" ref="K24:Q24" si="11">+K9/G9-1</f>
        <v>0.48402445653833648</v>
      </c>
      <c r="L24" s="5">
        <f t="shared" si="11"/>
        <v>0.53626434866224848</v>
      </c>
      <c r="M24" s="5">
        <f t="shared" si="11"/>
        <v>0.67903614457831307</v>
      </c>
      <c r="N24" s="5">
        <f t="shared" si="11"/>
        <v>0.71251251251251246</v>
      </c>
      <c r="O24" s="5">
        <f t="shared" si="11"/>
        <v>0.61490021114326043</v>
      </c>
      <c r="P24" s="5">
        <f t="shared" si="11"/>
        <v>0.77686852736997825</v>
      </c>
      <c r="Q24" s="5">
        <f t="shared" si="11"/>
        <v>0.54994259471871421</v>
      </c>
    </row>
    <row r="25" spans="2:22" x14ac:dyDescent="0.2">
      <c r="B25" s="1" t="s">
        <v>65</v>
      </c>
      <c r="I25" s="16">
        <f t="shared" ref="I25:Q25" si="12">(I9-H9)/H9</f>
        <v>0.13368773595729683</v>
      </c>
      <c r="J25" s="16">
        <f t="shared" si="12"/>
        <v>0.20361445783132531</v>
      </c>
      <c r="K25" s="16">
        <f t="shared" si="12"/>
        <v>-2.71751751751752E-2</v>
      </c>
      <c r="L25" s="16">
        <f t="shared" si="12"/>
        <v>0.1573120187024363</v>
      </c>
      <c r="M25" s="16">
        <f t="shared" si="12"/>
        <v>0.23904631842494575</v>
      </c>
      <c r="N25" s="16">
        <f t="shared" si="12"/>
        <v>0.22761194029850751</v>
      </c>
      <c r="O25" s="16">
        <f t="shared" si="12"/>
        <v>-8.262567220014029E-2</v>
      </c>
      <c r="P25" s="16">
        <f t="shared" si="12"/>
        <v>0.27338598892346594</v>
      </c>
      <c r="Q25" s="16">
        <f t="shared" si="12"/>
        <v>8.0806281485988521E-2</v>
      </c>
    </row>
    <row r="26" spans="2:22" x14ac:dyDescent="0.2">
      <c r="B26" t="s">
        <v>28</v>
      </c>
      <c r="H26" s="5">
        <f>+H11/H9</f>
        <v>0.8424529178117367</v>
      </c>
      <c r="K26" s="5">
        <f>+K11/K9</f>
        <v>0.88633660269259096</v>
      </c>
      <c r="L26" s="5">
        <f>+L11/L9</f>
        <v>0.89508293501763969</v>
      </c>
      <c r="O26" s="5">
        <f>+O11/O9</f>
        <v>0.90547225641692219</v>
      </c>
      <c r="P26" s="5">
        <f>+P11/P9</f>
        <v>0.908131466073691</v>
      </c>
    </row>
    <row r="27" spans="2:22" s="10" customFormat="1" x14ac:dyDescent="0.2">
      <c r="B27" s="8" t="s">
        <v>50</v>
      </c>
      <c r="C27" s="9"/>
      <c r="D27" s="9"/>
      <c r="E27" s="9"/>
      <c r="F27" s="9"/>
      <c r="G27" s="9"/>
      <c r="H27" s="9"/>
      <c r="I27" s="18">
        <v>-11.6</v>
      </c>
      <c r="J27" s="18">
        <v>-22.035</v>
      </c>
      <c r="K27" s="18">
        <v>29.2</v>
      </c>
      <c r="L27" s="18">
        <v>27.2</v>
      </c>
      <c r="M27" s="18">
        <v>70.3</v>
      </c>
      <c r="N27" s="18">
        <v>89.155000000000001</v>
      </c>
      <c r="O27" s="11">
        <v>126.6</v>
      </c>
      <c r="P27" s="11">
        <v>110.8</v>
      </c>
      <c r="T27" s="11">
        <v>-100.254</v>
      </c>
      <c r="U27" s="11">
        <v>-84.837999999999994</v>
      </c>
      <c r="V27" s="11">
        <v>-215.82</v>
      </c>
    </row>
    <row r="28" spans="2:22" x14ac:dyDescent="0.2">
      <c r="B28" s="15" t="s">
        <v>54</v>
      </c>
      <c r="O28" s="5">
        <f>(O27-K27)/K27</f>
        <v>3.3356164383561642</v>
      </c>
      <c r="P28" s="5">
        <f>(P27-L27)/L27</f>
        <v>3.0735294117647056</v>
      </c>
      <c r="T28" s="7"/>
      <c r="U28" s="7"/>
      <c r="V28" s="7"/>
    </row>
    <row r="29" spans="2:22" x14ac:dyDescent="0.2">
      <c r="B29" s="15"/>
      <c r="T29" s="7"/>
      <c r="U29" s="7"/>
      <c r="V29" s="7"/>
    </row>
    <row r="30" spans="2:22" x14ac:dyDescent="0.2">
      <c r="B30" t="s">
        <v>35</v>
      </c>
      <c r="H30" s="3">
        <f>+H20</f>
        <v>-41.109000000000009</v>
      </c>
      <c r="L30" s="3">
        <f>+L20</f>
        <v>-10.098999999999959</v>
      </c>
    </row>
    <row r="31" spans="2:22" x14ac:dyDescent="0.2">
      <c r="B31" t="s">
        <v>34</v>
      </c>
      <c r="H31" s="3">
        <v>-41.109000000000002</v>
      </c>
      <c r="L31" s="3">
        <v>-10.099</v>
      </c>
    </row>
    <row r="32" spans="2:22" x14ac:dyDescent="0.2">
      <c r="B32" t="s">
        <v>41</v>
      </c>
      <c r="H32" s="3">
        <v>3.3210000000000002</v>
      </c>
      <c r="L32" s="3">
        <v>3.77</v>
      </c>
    </row>
    <row r="33" spans="2:21" x14ac:dyDescent="0.2">
      <c r="B33" t="s">
        <v>40</v>
      </c>
      <c r="H33" s="3">
        <v>3.415</v>
      </c>
      <c r="L33" s="3">
        <v>1.335</v>
      </c>
    </row>
    <row r="34" spans="2:21" x14ac:dyDescent="0.2">
      <c r="B34" t="s">
        <v>42</v>
      </c>
      <c r="H34" s="3">
        <v>-6.15</v>
      </c>
      <c r="L34" s="3">
        <v>-11.362</v>
      </c>
    </row>
    <row r="35" spans="2:21" x14ac:dyDescent="0.2">
      <c r="B35" t="s">
        <v>39</v>
      </c>
      <c r="H35" s="3">
        <v>10.103</v>
      </c>
      <c r="L35" s="3">
        <v>64.266000000000005</v>
      </c>
    </row>
    <row r="36" spans="2:21" x14ac:dyDescent="0.2">
      <c r="B36" t="s">
        <v>38</v>
      </c>
      <c r="H36" s="3">
        <v>0.15</v>
      </c>
      <c r="L36" s="3">
        <v>0.14099999999999999</v>
      </c>
    </row>
    <row r="37" spans="2:21" x14ac:dyDescent="0.2">
      <c r="B37" t="s">
        <v>37</v>
      </c>
      <c r="H37" s="3">
        <f>-8.833+1.84-2.211-6.323-8.256</f>
        <v>-23.783000000000001</v>
      </c>
      <c r="L37" s="3">
        <f>-24.793-6.27-0.78+18.22-6.043</f>
        <v>-19.666</v>
      </c>
      <c r="U37" t="s">
        <v>71</v>
      </c>
    </row>
    <row r="38" spans="2:21" x14ac:dyDescent="0.2">
      <c r="B38" t="s">
        <v>36</v>
      </c>
      <c r="H38" s="3">
        <f>SUM(H31:H37)</f>
        <v>-54.053000000000004</v>
      </c>
      <c r="L38" s="3">
        <f>SUM(L31:L37)</f>
        <v>28.385000000000002</v>
      </c>
      <c r="T38" s="19" t="s">
        <v>59</v>
      </c>
      <c r="U38" s="20">
        <v>0.35</v>
      </c>
    </row>
    <row r="39" spans="2:21" x14ac:dyDescent="0.2">
      <c r="T39" s="19" t="s">
        <v>60</v>
      </c>
      <c r="U39" s="20">
        <v>0.02</v>
      </c>
    </row>
    <row r="40" spans="2:21" x14ac:dyDescent="0.2">
      <c r="T40" s="19" t="s">
        <v>61</v>
      </c>
      <c r="U40" s="20">
        <v>0.11</v>
      </c>
    </row>
    <row r="41" spans="2:21" x14ac:dyDescent="0.2">
      <c r="T41" s="19" t="s">
        <v>62</v>
      </c>
      <c r="U41" s="21">
        <f>NPV(U40,T9:BB9)</f>
        <v>45166.362622420449</v>
      </c>
    </row>
    <row r="42" spans="2:21" x14ac:dyDescent="0.2">
      <c r="T42" s="19" t="s">
        <v>1</v>
      </c>
      <c r="U42" s="22">
        <f>P22</f>
        <v>199.52243300000001</v>
      </c>
    </row>
    <row r="43" spans="2:21" x14ac:dyDescent="0.2">
      <c r="T43" s="19" t="s">
        <v>63</v>
      </c>
      <c r="U43" s="21">
        <f>U41/U42</f>
        <v>226.37235293948348</v>
      </c>
    </row>
    <row r="44" spans="2:21" x14ac:dyDescent="0.2">
      <c r="T44" s="19" t="s">
        <v>64</v>
      </c>
      <c r="U44" s="23">
        <f>(U43-Main!J2)/Main!J2</f>
        <v>5.7417493312753882E-3</v>
      </c>
    </row>
  </sheetData>
  <phoneticPr fontId="4" type="noConversion"/>
  <hyperlinks>
    <hyperlink ref="A1" location="Main!A1" display="Main" xr:uid="{B39C7998-54E4-4FA8-BF2A-AF3574DC860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2024-11-05T14:23:14Z</dcterms:created>
  <dcterms:modified xsi:type="dcterms:W3CDTF">2025-09-09T05:36:52Z</dcterms:modified>
</cp:coreProperties>
</file>