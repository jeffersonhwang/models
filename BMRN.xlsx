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17ED6DA0-B3F8-4516-AACD-83FABC8EF62F}" xr6:coauthVersionLast="47" xr6:coauthVersionMax="47" xr10:uidLastSave="{00000000-0000-0000-0000-000000000000}"/>
  <bookViews>
    <workbookView xWindow="19020" yWindow="10770" windowWidth="19170" windowHeight="13220" activeTab="1" xr2:uid="{1A28BDC2-CB33-447E-AED0-8D4C76155960}"/>
  </bookViews>
  <sheets>
    <sheet name="Main" sheetId="1" r:id="rId1"/>
    <sheet name="Model" sheetId="2" r:id="rId2"/>
    <sheet name="Voxzogo" sheetId="5" r:id="rId3"/>
    <sheet name="valrox" sheetId="4" r:id="rId4"/>
    <sheet name="Matrix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7" i="2" l="1"/>
  <c r="AL15" i="2"/>
  <c r="AL14" i="2"/>
  <c r="AL13" i="2"/>
  <c r="AL12" i="2"/>
  <c r="AL11" i="2"/>
  <c r="AL10" i="2"/>
  <c r="AL9" i="2"/>
  <c r="AL8" i="2"/>
  <c r="AM17" i="2"/>
  <c r="AM15" i="2"/>
  <c r="AM14" i="2"/>
  <c r="AM13" i="2"/>
  <c r="AM12" i="2"/>
  <c r="AM11" i="2"/>
  <c r="AM10" i="2"/>
  <c r="AM9" i="2"/>
  <c r="AM8" i="2"/>
  <c r="AM16" i="2" s="1"/>
  <c r="Z15" i="2"/>
  <c r="Y15" i="2"/>
  <c r="X15" i="2"/>
  <c r="AN15" i="2" s="1"/>
  <c r="AN14" i="2"/>
  <c r="AO14" i="2" s="1"/>
  <c r="AP14" i="2" s="1"/>
  <c r="AQ14" i="2" s="1"/>
  <c r="AR14" i="2" s="1"/>
  <c r="AS14" i="2" s="1"/>
  <c r="Z8" i="2"/>
  <c r="Y8" i="2"/>
  <c r="X8" i="2"/>
  <c r="AN8" i="2" s="1"/>
  <c r="X9" i="2"/>
  <c r="Y9" i="2" s="1"/>
  <c r="Z9" i="2" s="1"/>
  <c r="Z10" i="2"/>
  <c r="Y10" i="2"/>
  <c r="X10" i="2"/>
  <c r="AN10" i="2" s="1"/>
  <c r="Z11" i="2"/>
  <c r="Y11" i="2"/>
  <c r="X11" i="2"/>
  <c r="X12" i="2"/>
  <c r="Z13" i="2"/>
  <c r="Y13" i="2"/>
  <c r="X13" i="2"/>
  <c r="AN13" i="2" s="1"/>
  <c r="Z14" i="2"/>
  <c r="Y14" i="2"/>
  <c r="X14" i="2"/>
  <c r="Z17" i="2"/>
  <c r="Y17" i="2"/>
  <c r="X17" i="2"/>
  <c r="AN17" i="2" s="1"/>
  <c r="U25" i="2"/>
  <c r="V36" i="2"/>
  <c r="U36" i="2"/>
  <c r="V35" i="2"/>
  <c r="U35" i="2"/>
  <c r="V25" i="2"/>
  <c r="AL16" i="2" l="1"/>
  <c r="AN11" i="2"/>
  <c r="AN9" i="2"/>
  <c r="AO9" i="2" s="1"/>
  <c r="Y12" i="2"/>
  <c r="Z12" i="2" s="1"/>
  <c r="X18" i="2"/>
  <c r="Z18" i="2"/>
  <c r="Y18" i="2"/>
  <c r="W36" i="2"/>
  <c r="W35" i="2"/>
  <c r="W70" i="2"/>
  <c r="W71" i="2" s="1"/>
  <c r="W66" i="2"/>
  <c r="W67" i="2" s="1"/>
  <c r="W54" i="2"/>
  <c r="V54" i="2"/>
  <c r="U54" i="2"/>
  <c r="T54" i="2"/>
  <c r="V47" i="2"/>
  <c r="U47" i="2"/>
  <c r="T47" i="2"/>
  <c r="W44" i="2"/>
  <c r="W39" i="2"/>
  <c r="W38" i="2" s="1"/>
  <c r="W25" i="2"/>
  <c r="W23" i="2"/>
  <c r="V23" i="2"/>
  <c r="U23" i="2"/>
  <c r="W18" i="2"/>
  <c r="W20" i="2" s="1"/>
  <c r="W34" i="2" s="1"/>
  <c r="V18" i="2"/>
  <c r="U18" i="2"/>
  <c r="Q25" i="2"/>
  <c r="N25" i="2"/>
  <c r="R25" i="2"/>
  <c r="R18" i="2"/>
  <c r="R20" i="2" s="1"/>
  <c r="R34" i="2" s="1"/>
  <c r="N18" i="2"/>
  <c r="N20" i="2" s="1"/>
  <c r="R54" i="2"/>
  <c r="Q54" i="2"/>
  <c r="P54" i="2"/>
  <c r="O54" i="2"/>
  <c r="N54" i="2"/>
  <c r="S51" i="2"/>
  <c r="S54" i="2" s="1"/>
  <c r="R47" i="2"/>
  <c r="Q47" i="2"/>
  <c r="P47" i="2"/>
  <c r="O47" i="2"/>
  <c r="N47" i="2"/>
  <c r="S44" i="2"/>
  <c r="S39" i="2"/>
  <c r="O25" i="2"/>
  <c r="S25" i="2"/>
  <c r="O18" i="2"/>
  <c r="S18" i="2"/>
  <c r="S20" i="2" s="1"/>
  <c r="P25" i="2"/>
  <c r="T23" i="2"/>
  <c r="S23" i="2"/>
  <c r="R23" i="2"/>
  <c r="Q23" i="2"/>
  <c r="P23" i="2"/>
  <c r="O23" i="2"/>
  <c r="T36" i="2"/>
  <c r="S36" i="2"/>
  <c r="R36" i="2"/>
  <c r="Q36" i="2"/>
  <c r="P36" i="2"/>
  <c r="O36" i="2"/>
  <c r="T35" i="2"/>
  <c r="S35" i="2"/>
  <c r="R35" i="2"/>
  <c r="Q35" i="2"/>
  <c r="P35" i="2"/>
  <c r="O35" i="2"/>
  <c r="T25" i="2"/>
  <c r="T18" i="2"/>
  <c r="T20" i="2" s="1"/>
  <c r="T34" i="2" s="1"/>
  <c r="Q18" i="2"/>
  <c r="P18" i="2"/>
  <c r="P20" i="2" s="1"/>
  <c r="P34" i="2" s="1"/>
  <c r="N36" i="2"/>
  <c r="L36" i="2"/>
  <c r="M36" i="2"/>
  <c r="M25" i="2"/>
  <c r="M54" i="2"/>
  <c r="M44" i="2"/>
  <c r="M39" i="2"/>
  <c r="M38" i="2" s="1"/>
  <c r="F20" i="4"/>
  <c r="F19" i="4"/>
  <c r="F18" i="4"/>
  <c r="F21" i="4"/>
  <c r="D30" i="4"/>
  <c r="H10" i="3"/>
  <c r="H5" i="3"/>
  <c r="H4" i="3" s="1"/>
  <c r="H8" i="3" s="1"/>
  <c r="G5" i="3"/>
  <c r="G4" i="3"/>
  <c r="G9" i="3"/>
  <c r="G8" i="3"/>
  <c r="G10" i="3"/>
  <c r="AP9" i="2"/>
  <c r="AQ9" i="2" s="1"/>
  <c r="AR9" i="2" s="1"/>
  <c r="AS9" i="2" s="1"/>
  <c r="D28" i="4"/>
  <c r="C28" i="4"/>
  <c r="D24" i="4"/>
  <c r="E24" i="4" s="1"/>
  <c r="F24" i="4" s="1"/>
  <c r="G24" i="4" s="1"/>
  <c r="H24" i="4" s="1"/>
  <c r="I24" i="4" s="1"/>
  <c r="J24" i="4" s="1"/>
  <c r="K24" i="4" s="1"/>
  <c r="L24" i="4" s="1"/>
  <c r="M24" i="4" s="1"/>
  <c r="N24" i="4" s="1"/>
  <c r="C25" i="4"/>
  <c r="D25" i="4" s="1"/>
  <c r="E25" i="4" s="1"/>
  <c r="E26" i="4" s="1"/>
  <c r="F10" i="3"/>
  <c r="E10" i="3"/>
  <c r="D10" i="3"/>
  <c r="C10" i="3"/>
  <c r="F9" i="3"/>
  <c r="E9" i="3"/>
  <c r="D9" i="3"/>
  <c r="C9" i="3"/>
  <c r="E8" i="3"/>
  <c r="D8" i="3"/>
  <c r="C8" i="3"/>
  <c r="F4" i="3"/>
  <c r="F8" i="3" s="1"/>
  <c r="E4" i="3"/>
  <c r="D4" i="3"/>
  <c r="F5" i="3"/>
  <c r="E5" i="3"/>
  <c r="D5" i="3"/>
  <c r="AH25" i="2"/>
  <c r="AH23" i="2"/>
  <c r="AH16" i="2"/>
  <c r="AH18" i="2" s="1"/>
  <c r="AH20" i="2" s="1"/>
  <c r="AH34" i="2" s="1"/>
  <c r="AI36" i="2"/>
  <c r="AI25" i="2"/>
  <c r="AI23" i="2"/>
  <c r="AI35" i="2"/>
  <c r="AI16" i="2"/>
  <c r="AI18" i="2" s="1"/>
  <c r="AK8" i="2"/>
  <c r="AJ27" i="2"/>
  <c r="AJ30" i="2"/>
  <c r="AJ22" i="2"/>
  <c r="AJ21" i="2"/>
  <c r="AJ19" i="2"/>
  <c r="AJ17" i="2"/>
  <c r="AJ15" i="2"/>
  <c r="AJ14" i="2"/>
  <c r="AJ13" i="2"/>
  <c r="AJ12" i="2"/>
  <c r="AJ11" i="2"/>
  <c r="AJ10" i="2"/>
  <c r="AJ8" i="2"/>
  <c r="AK21" i="2"/>
  <c r="AK14" i="2"/>
  <c r="AK10" i="2"/>
  <c r="AO10" i="2" s="1"/>
  <c r="AP10" i="2" s="1"/>
  <c r="AQ10" i="2" s="1"/>
  <c r="AR10" i="2" s="1"/>
  <c r="AS10" i="2" s="1"/>
  <c r="AK30" i="2"/>
  <c r="AL30" i="2" s="1"/>
  <c r="AM30" i="2" s="1"/>
  <c r="AN30" i="2" s="1"/>
  <c r="AO30" i="2" s="1"/>
  <c r="AP30" i="2" s="1"/>
  <c r="AQ30" i="2" s="1"/>
  <c r="AR30" i="2" s="1"/>
  <c r="AS30" i="2" s="1"/>
  <c r="N23" i="2"/>
  <c r="M35" i="2"/>
  <c r="K35" i="2"/>
  <c r="J35" i="2"/>
  <c r="I35" i="2"/>
  <c r="L35" i="2"/>
  <c r="M16" i="2"/>
  <c r="L16" i="2"/>
  <c r="L18" i="2" s="1"/>
  <c r="AH2" i="2"/>
  <c r="AI2" i="2" s="1"/>
  <c r="AJ2" i="2" s="1"/>
  <c r="AK2" i="2" s="1"/>
  <c r="AL2" i="2" s="1"/>
  <c r="AM2" i="2" s="1"/>
  <c r="AN2" i="2" s="1"/>
  <c r="AO2" i="2" s="1"/>
  <c r="AP2" i="2" s="1"/>
  <c r="AQ2" i="2" s="1"/>
  <c r="AR2" i="2" s="1"/>
  <c r="AS2" i="2" s="1"/>
  <c r="E25" i="2"/>
  <c r="E23" i="2"/>
  <c r="I25" i="2"/>
  <c r="I23" i="2"/>
  <c r="E16" i="2"/>
  <c r="E18" i="2" s="1"/>
  <c r="I16" i="2"/>
  <c r="I18" i="2" s="1"/>
  <c r="I20" i="2" s="1"/>
  <c r="I34" i="2" s="1"/>
  <c r="F25" i="2"/>
  <c r="F23" i="2"/>
  <c r="J25" i="2"/>
  <c r="J23" i="2"/>
  <c r="F16" i="2"/>
  <c r="F18" i="2" s="1"/>
  <c r="F20" i="2" s="1"/>
  <c r="J16" i="2"/>
  <c r="J18" i="2" s="1"/>
  <c r="J20" i="2" s="1"/>
  <c r="G25" i="2"/>
  <c r="G23" i="2"/>
  <c r="K25" i="2"/>
  <c r="K23" i="2"/>
  <c r="K16" i="2"/>
  <c r="K18" i="2" s="1"/>
  <c r="K20" i="2" s="1"/>
  <c r="K34" i="2" s="1"/>
  <c r="G16" i="2"/>
  <c r="G18" i="2" s="1"/>
  <c r="G20" i="2" s="1"/>
  <c r="H16" i="2"/>
  <c r="H18" i="2" s="1"/>
  <c r="H20" i="2" s="1"/>
  <c r="H25" i="2"/>
  <c r="L23" i="2"/>
  <c r="L25" i="2"/>
  <c r="H23" i="2"/>
  <c r="L4" i="1"/>
  <c r="W75" i="2" l="1"/>
  <c r="Y33" i="2"/>
  <c r="V20" i="2"/>
  <c r="V34" i="2" s="1"/>
  <c r="V33" i="2"/>
  <c r="Z33" i="2"/>
  <c r="X33" i="2"/>
  <c r="AN12" i="2"/>
  <c r="U20" i="2"/>
  <c r="U34" i="2" s="1"/>
  <c r="U33" i="2"/>
  <c r="W33" i="2"/>
  <c r="J24" i="2"/>
  <c r="J26" i="2" s="1"/>
  <c r="J28" i="2" s="1"/>
  <c r="J29" i="2" s="1"/>
  <c r="W24" i="2"/>
  <c r="W26" i="2" s="1"/>
  <c r="W28" i="2" s="1"/>
  <c r="W29" i="2" s="1"/>
  <c r="S47" i="2"/>
  <c r="V24" i="2"/>
  <c r="V26" i="2" s="1"/>
  <c r="V28" i="2" s="1"/>
  <c r="V29" i="2" s="1"/>
  <c r="W47" i="2"/>
  <c r="P33" i="2"/>
  <c r="T33" i="2"/>
  <c r="R24" i="2"/>
  <c r="R26" i="2" s="1"/>
  <c r="R28" i="2" s="1"/>
  <c r="R29" i="2" s="1"/>
  <c r="O20" i="2"/>
  <c r="O34" i="2" s="1"/>
  <c r="P24" i="2"/>
  <c r="P26" i="2" s="1"/>
  <c r="P28" i="2" s="1"/>
  <c r="P29" i="2" s="1"/>
  <c r="T24" i="2"/>
  <c r="Q20" i="2"/>
  <c r="Q34" i="2" s="1"/>
  <c r="S24" i="2"/>
  <c r="S26" i="2" s="1"/>
  <c r="S28" i="2" s="1"/>
  <c r="S29" i="2" s="1"/>
  <c r="S34" i="2"/>
  <c r="O33" i="2"/>
  <c r="S33" i="2"/>
  <c r="N35" i="2"/>
  <c r="L38" i="2"/>
  <c r="AK25" i="2"/>
  <c r="AJ23" i="2"/>
  <c r="AJ35" i="2"/>
  <c r="M18" i="2"/>
  <c r="Q33" i="2" s="1"/>
  <c r="M47" i="2"/>
  <c r="L7" i="1"/>
  <c r="E28" i="4"/>
  <c r="H9" i="3"/>
  <c r="AI33" i="2"/>
  <c r="AI20" i="2"/>
  <c r="AI34" i="2" s="1"/>
  <c r="AL36" i="2"/>
  <c r="AK22" i="2"/>
  <c r="M23" i="2"/>
  <c r="AK36" i="2"/>
  <c r="AK17" i="2"/>
  <c r="AO17" i="2" s="1"/>
  <c r="AJ36" i="2"/>
  <c r="AJ16" i="2"/>
  <c r="AJ18" i="2" s="1"/>
  <c r="AJ20" i="2" s="1"/>
  <c r="AK12" i="2"/>
  <c r="AO12" i="2" s="1"/>
  <c r="AJ25" i="2"/>
  <c r="AK13" i="2"/>
  <c r="AO13" i="2" s="1"/>
  <c r="AP13" i="2" s="1"/>
  <c r="AQ13" i="2" s="1"/>
  <c r="AR13" i="2" s="1"/>
  <c r="AS13" i="2" s="1"/>
  <c r="AK15" i="2"/>
  <c r="AO15" i="2" s="1"/>
  <c r="AP15" i="2" s="1"/>
  <c r="AQ15" i="2" s="1"/>
  <c r="AR15" i="2" s="1"/>
  <c r="AS15" i="2" s="1"/>
  <c r="AH24" i="2"/>
  <c r="AH26" i="2" s="1"/>
  <c r="AH28" i="2" s="1"/>
  <c r="AH29" i="2" s="1"/>
  <c r="G24" i="2"/>
  <c r="G26" i="2" s="1"/>
  <c r="G28" i="2" s="1"/>
  <c r="G29" i="2" s="1"/>
  <c r="G34" i="2"/>
  <c r="I33" i="2"/>
  <c r="E20" i="2"/>
  <c r="E34" i="2" s="1"/>
  <c r="J33" i="2"/>
  <c r="J34" i="2"/>
  <c r="I24" i="2"/>
  <c r="I26" i="2" s="1"/>
  <c r="I28" i="2" s="1"/>
  <c r="I29" i="2" s="1"/>
  <c r="F34" i="2"/>
  <c r="F24" i="2"/>
  <c r="F26" i="2" s="1"/>
  <c r="F28" i="2" s="1"/>
  <c r="F29" i="2" s="1"/>
  <c r="K33" i="2"/>
  <c r="K24" i="2"/>
  <c r="K26" i="2" s="1"/>
  <c r="K28" i="2" s="1"/>
  <c r="K29" i="2" s="1"/>
  <c r="L33" i="2"/>
  <c r="H34" i="2"/>
  <c r="H24" i="2"/>
  <c r="H26" i="2" s="1"/>
  <c r="H28" i="2" s="1"/>
  <c r="H29" i="2" s="1"/>
  <c r="L20" i="2"/>
  <c r="U24" i="2" l="1"/>
  <c r="U26" i="2" s="1"/>
  <c r="U28" i="2" s="1"/>
  <c r="U29" i="2" s="1"/>
  <c r="W56" i="2"/>
  <c r="Q24" i="2"/>
  <c r="Q26" i="2" s="1"/>
  <c r="Q28" i="2" s="1"/>
  <c r="Q29" i="2" s="1"/>
  <c r="O24" i="2"/>
  <c r="O26" i="2" s="1"/>
  <c r="O28" i="2" s="1"/>
  <c r="O29" i="2" s="1"/>
  <c r="T26" i="2"/>
  <c r="T28" i="2" s="1"/>
  <c r="T29" i="2" s="1"/>
  <c r="M33" i="2"/>
  <c r="M20" i="2"/>
  <c r="M24" i="2" s="1"/>
  <c r="M26" i="2" s="1"/>
  <c r="AI24" i="2"/>
  <c r="AI26" i="2" s="1"/>
  <c r="AI28" i="2" s="1"/>
  <c r="AI29" i="2" s="1"/>
  <c r="F25" i="4"/>
  <c r="E30" i="4"/>
  <c r="AJ24" i="2"/>
  <c r="AJ26" i="2" s="1"/>
  <c r="AJ28" i="2" s="1"/>
  <c r="AJ29" i="2" s="1"/>
  <c r="AJ34" i="2"/>
  <c r="AK11" i="2"/>
  <c r="AJ33" i="2"/>
  <c r="AK35" i="2"/>
  <c r="AL22" i="2"/>
  <c r="AK23" i="2"/>
  <c r="AM36" i="2"/>
  <c r="E24" i="2"/>
  <c r="E26" i="2" s="1"/>
  <c r="E28" i="2" s="1"/>
  <c r="E29" i="2" s="1"/>
  <c r="AP12" i="2"/>
  <c r="AP17" i="2"/>
  <c r="L34" i="2"/>
  <c r="L24" i="2"/>
  <c r="L26" i="2" s="1"/>
  <c r="L28" i="2" s="1"/>
  <c r="L29" i="2" s="1"/>
  <c r="M34" i="2" l="1"/>
  <c r="R33" i="2"/>
  <c r="N33" i="2"/>
  <c r="F26" i="4"/>
  <c r="G25" i="4" s="1"/>
  <c r="G26" i="4" s="1"/>
  <c r="G28" i="4" s="1"/>
  <c r="AN36" i="2"/>
  <c r="AO8" i="2"/>
  <c r="AL23" i="2"/>
  <c r="AL35" i="2"/>
  <c r="AM22" i="2"/>
  <c r="AK16" i="2"/>
  <c r="AK18" i="2" s="1"/>
  <c r="N34" i="2"/>
  <c r="N24" i="2"/>
  <c r="N26" i="2" s="1"/>
  <c r="AK19" i="2"/>
  <c r="AQ12" i="2"/>
  <c r="AQ17" i="2"/>
  <c r="F28" i="4" l="1"/>
  <c r="F30" i="4"/>
  <c r="G30" i="4"/>
  <c r="H25" i="4"/>
  <c r="H26" i="4" s="1"/>
  <c r="N28" i="2"/>
  <c r="N29" i="2" s="1"/>
  <c r="AK20" i="2"/>
  <c r="AK33" i="2"/>
  <c r="AL18" i="2"/>
  <c r="M28" i="2"/>
  <c r="AM35" i="2"/>
  <c r="AM23" i="2"/>
  <c r="AN22" i="2"/>
  <c r="AP8" i="2"/>
  <c r="AO36" i="2"/>
  <c r="AR12" i="2"/>
  <c r="AR17" i="2"/>
  <c r="AK27" i="2" l="1"/>
  <c r="H28" i="4"/>
  <c r="AQ8" i="2"/>
  <c r="AP36" i="2"/>
  <c r="AN35" i="2"/>
  <c r="AO22" i="2"/>
  <c r="AN23" i="2"/>
  <c r="M29" i="2"/>
  <c r="AK38" i="2"/>
  <c r="AL33" i="2"/>
  <c r="AL19" i="2"/>
  <c r="AL20" i="2" s="1"/>
  <c r="AM18" i="2"/>
  <c r="AK34" i="2"/>
  <c r="AK24" i="2"/>
  <c r="AK26" i="2" s="1"/>
  <c r="AS12" i="2"/>
  <c r="AS17" i="2"/>
  <c r="AK28" i="2" l="1"/>
  <c r="AK29" i="2" s="1"/>
  <c r="H30" i="4"/>
  <c r="I25" i="4"/>
  <c r="I26" i="4" s="1"/>
  <c r="AL34" i="2"/>
  <c r="AL24" i="2"/>
  <c r="AM33" i="2"/>
  <c r="AM19" i="2"/>
  <c r="AM20" i="2" s="1"/>
  <c r="AO11" i="2"/>
  <c r="AN16" i="2"/>
  <c r="AN18" i="2" s="1"/>
  <c r="AL25" i="2"/>
  <c r="AO35" i="2"/>
  <c r="AP22" i="2"/>
  <c r="AO23" i="2"/>
  <c r="AR8" i="2"/>
  <c r="AQ36" i="2"/>
  <c r="I28" i="4" l="1"/>
  <c r="AM34" i="2"/>
  <c r="AM24" i="2"/>
  <c r="AS8" i="2"/>
  <c r="AR36" i="2"/>
  <c r="AP35" i="2"/>
  <c r="AQ22" i="2"/>
  <c r="AP23" i="2"/>
  <c r="AN33" i="2"/>
  <c r="AN19" i="2"/>
  <c r="AN20" i="2" s="1"/>
  <c r="AP11" i="2"/>
  <c r="AO16" i="2"/>
  <c r="AO18" i="2" s="1"/>
  <c r="AL26" i="2"/>
  <c r="AL27" i="2" s="1"/>
  <c r="AL28" i="2" s="1"/>
  <c r="I30" i="4" l="1"/>
  <c r="J25" i="4"/>
  <c r="J26" i="4" s="1"/>
  <c r="AN34" i="2"/>
  <c r="AN24" i="2"/>
  <c r="AL29" i="2"/>
  <c r="AL38" i="2"/>
  <c r="AO33" i="2"/>
  <c r="AO19" i="2"/>
  <c r="AO20" i="2" s="1"/>
  <c r="AQ11" i="2"/>
  <c r="AP16" i="2"/>
  <c r="AP18" i="2" s="1"/>
  <c r="AR22" i="2"/>
  <c r="AQ35" i="2"/>
  <c r="AQ23" i="2"/>
  <c r="AS36" i="2"/>
  <c r="J28" i="4" l="1"/>
  <c r="AO34" i="2"/>
  <c r="AO24" i="2"/>
  <c r="AS22" i="2"/>
  <c r="AR23" i="2"/>
  <c r="AR35" i="2"/>
  <c r="AP33" i="2"/>
  <c r="AP19" i="2"/>
  <c r="AP20" i="2" s="1"/>
  <c r="AR11" i="2"/>
  <c r="AQ16" i="2"/>
  <c r="AQ18" i="2" s="1"/>
  <c r="AM25" i="2"/>
  <c r="AM26" i="2" s="1"/>
  <c r="AM27" i="2" s="1"/>
  <c r="AM28" i="2" s="1"/>
  <c r="AM29" i="2" s="1"/>
  <c r="J30" i="4" l="1"/>
  <c r="K25" i="4"/>
  <c r="K26" i="4" s="1"/>
  <c r="AM38" i="2"/>
  <c r="AN25" i="2" s="1"/>
  <c r="AN26" i="2" s="1"/>
  <c r="AP34" i="2"/>
  <c r="AP24" i="2"/>
  <c r="AQ19" i="2"/>
  <c r="AQ20" i="2" s="1"/>
  <c r="AQ33" i="2"/>
  <c r="AS11" i="2"/>
  <c r="AR16" i="2"/>
  <c r="AR18" i="2" s="1"/>
  <c r="AS23" i="2"/>
  <c r="AS35" i="2"/>
  <c r="AS16" i="2" l="1"/>
  <c r="AS18" i="2" s="1"/>
  <c r="K28" i="4"/>
  <c r="AQ34" i="2"/>
  <c r="AQ24" i="2"/>
  <c r="AR19" i="2"/>
  <c r="AR20" i="2" s="1"/>
  <c r="AR33" i="2"/>
  <c r="AN27" i="2"/>
  <c r="AN28" i="2" s="1"/>
  <c r="AS33" i="2" l="1"/>
  <c r="AS19" i="2"/>
  <c r="AS20" i="2" s="1"/>
  <c r="AS34" i="2" s="1"/>
  <c r="K30" i="4"/>
  <c r="L25" i="4"/>
  <c r="L26" i="4" s="1"/>
  <c r="AR34" i="2"/>
  <c r="AR24" i="2"/>
  <c r="AN29" i="2"/>
  <c r="AN38" i="2"/>
  <c r="AS24" i="2" l="1"/>
  <c r="L28" i="4"/>
  <c r="AO25" i="2"/>
  <c r="AO26" i="2" s="1"/>
  <c r="AO27" i="2" s="1"/>
  <c r="AO28" i="2" s="1"/>
  <c r="AO29" i="2" s="1"/>
  <c r="L30" i="4" l="1"/>
  <c r="M25" i="4"/>
  <c r="M26" i="4" s="1"/>
  <c r="AO38" i="2"/>
  <c r="AP25" i="2" s="1"/>
  <c r="AP26" i="2" s="1"/>
  <c r="AP27" i="2" s="1"/>
  <c r="AP28" i="2" s="1"/>
  <c r="M28" i="4" l="1"/>
  <c r="AP29" i="2"/>
  <c r="AP38" i="2"/>
  <c r="AQ25" i="2" s="1"/>
  <c r="AQ26" i="2" s="1"/>
  <c r="AQ27" i="2" s="1"/>
  <c r="AQ28" i="2" s="1"/>
  <c r="AQ29" i="2" s="1"/>
  <c r="N25" i="4" l="1"/>
  <c r="AQ38" i="2"/>
  <c r="AR25" i="2" s="1"/>
  <c r="AR26" i="2" s="1"/>
  <c r="N26" i="4" l="1"/>
  <c r="N28" i="4" s="1"/>
  <c r="AR27" i="2"/>
  <c r="AR28" i="2" s="1"/>
  <c r="AR29" i="2" l="1"/>
  <c r="AR38" i="2"/>
  <c r="AS25" i="2" l="1"/>
  <c r="AS26" i="2" s="1"/>
  <c r="AS27" i="2" l="1"/>
  <c r="AS28" i="2" s="1"/>
  <c r="AS29" i="2" l="1"/>
  <c r="AT28" i="2"/>
  <c r="AU28" i="2" s="1"/>
  <c r="AV28" i="2" s="1"/>
  <c r="AW28" i="2" s="1"/>
  <c r="AX28" i="2" s="1"/>
  <c r="AY28" i="2" s="1"/>
  <c r="AZ28" i="2" s="1"/>
  <c r="BA28" i="2" s="1"/>
  <c r="BB28" i="2" s="1"/>
  <c r="BC28" i="2" s="1"/>
  <c r="BD28" i="2" s="1"/>
  <c r="BE28" i="2" s="1"/>
  <c r="BF28" i="2" s="1"/>
  <c r="BG28" i="2" s="1"/>
  <c r="BH28" i="2" s="1"/>
  <c r="BI28" i="2" s="1"/>
  <c r="BJ28" i="2" s="1"/>
  <c r="BK28" i="2" s="1"/>
  <c r="BL28" i="2" s="1"/>
  <c r="BM28" i="2" s="1"/>
  <c r="BN28" i="2" s="1"/>
  <c r="BO28" i="2" s="1"/>
  <c r="BP28" i="2" s="1"/>
  <c r="BQ28" i="2" s="1"/>
  <c r="BR28" i="2" s="1"/>
  <c r="BS28" i="2" s="1"/>
  <c r="BT28" i="2" s="1"/>
  <c r="BU28" i="2" s="1"/>
  <c r="BV28" i="2" s="1"/>
  <c r="BW28" i="2" s="1"/>
  <c r="BX28" i="2" s="1"/>
  <c r="BY28" i="2" s="1"/>
  <c r="BZ28" i="2" s="1"/>
  <c r="CA28" i="2" s="1"/>
  <c r="CB28" i="2" s="1"/>
  <c r="CC28" i="2" s="1"/>
  <c r="CD28" i="2" s="1"/>
  <c r="CE28" i="2" s="1"/>
  <c r="CF28" i="2" s="1"/>
  <c r="CG28" i="2" s="1"/>
  <c r="CH28" i="2" s="1"/>
  <c r="CI28" i="2" s="1"/>
  <c r="CJ28" i="2" s="1"/>
  <c r="CK28" i="2" s="1"/>
  <c r="CL28" i="2" s="1"/>
  <c r="CM28" i="2" s="1"/>
  <c r="CN28" i="2" s="1"/>
  <c r="CO28" i="2" s="1"/>
  <c r="CP28" i="2" s="1"/>
  <c r="CQ28" i="2" s="1"/>
  <c r="CR28" i="2" s="1"/>
  <c r="CS28" i="2" s="1"/>
  <c r="CT28" i="2" s="1"/>
  <c r="CU28" i="2" s="1"/>
  <c r="CV28" i="2" s="1"/>
  <c r="CW28" i="2" s="1"/>
  <c r="CX28" i="2" s="1"/>
  <c r="CY28" i="2" s="1"/>
  <c r="CZ28" i="2" s="1"/>
  <c r="DA28" i="2" s="1"/>
  <c r="DB28" i="2" s="1"/>
  <c r="DC28" i="2" s="1"/>
  <c r="DD28" i="2" s="1"/>
  <c r="DE28" i="2" s="1"/>
  <c r="DF28" i="2" s="1"/>
  <c r="DG28" i="2" s="1"/>
  <c r="DH28" i="2" s="1"/>
  <c r="DI28" i="2" s="1"/>
  <c r="DJ28" i="2" s="1"/>
  <c r="DK28" i="2" s="1"/>
  <c r="DL28" i="2" s="1"/>
  <c r="DM28" i="2" s="1"/>
  <c r="DN28" i="2" s="1"/>
  <c r="DO28" i="2" s="1"/>
  <c r="DP28" i="2" s="1"/>
  <c r="DQ28" i="2" s="1"/>
  <c r="DR28" i="2" s="1"/>
  <c r="DS28" i="2" s="1"/>
  <c r="DT28" i="2" s="1"/>
  <c r="DU28" i="2" s="1"/>
  <c r="DV28" i="2" s="1"/>
  <c r="AV37" i="2" s="1"/>
  <c r="AV38" i="2" s="1"/>
  <c r="AV39" i="2" s="1"/>
  <c r="AS38" i="2"/>
</calcChain>
</file>

<file path=xl/sharedStrings.xml><?xml version="1.0" encoding="utf-8"?>
<sst xmlns="http://schemas.openxmlformats.org/spreadsheetml/2006/main" count="221" uniqueCount="187">
  <si>
    <t>Price</t>
  </si>
  <si>
    <t>Shares</t>
  </si>
  <si>
    <t>MC</t>
  </si>
  <si>
    <t>Cash</t>
  </si>
  <si>
    <t>Debt</t>
  </si>
  <si>
    <t>EV</t>
  </si>
  <si>
    <t>Q222</t>
  </si>
  <si>
    <t>Name</t>
  </si>
  <si>
    <t>Voxzogo (vosoritide)</t>
  </si>
  <si>
    <t>Palynziq (pegvaliase)</t>
  </si>
  <si>
    <t>Brineura (cerliponase)</t>
  </si>
  <si>
    <t>Vimizim (elosulfase)</t>
  </si>
  <si>
    <t>Kuvan (sapropterin)</t>
  </si>
  <si>
    <t>Naglazyme (galsulfase)</t>
  </si>
  <si>
    <t>Aldurazyme (laronidase)</t>
  </si>
  <si>
    <t>Indication</t>
  </si>
  <si>
    <t>Achondroplasia</t>
  </si>
  <si>
    <t>PKU</t>
  </si>
  <si>
    <t>Batten</t>
  </si>
  <si>
    <t>MPS IVA</t>
  </si>
  <si>
    <t>MPS VI</t>
  </si>
  <si>
    <t>MPS I</t>
  </si>
  <si>
    <t>Approved</t>
  </si>
  <si>
    <t>Economics</t>
  </si>
  <si>
    <t>SNY</t>
  </si>
  <si>
    <t>MRK GY</t>
  </si>
  <si>
    <t>Admin</t>
  </si>
  <si>
    <t>IP</t>
  </si>
  <si>
    <t>Oral</t>
  </si>
  <si>
    <t>valoctogene roxaparvovec</t>
  </si>
  <si>
    <t>Phase</t>
  </si>
  <si>
    <t>Hemophilia A</t>
  </si>
  <si>
    <t>IV</t>
  </si>
  <si>
    <t>MOA</t>
  </si>
  <si>
    <t>ERT</t>
  </si>
  <si>
    <t>AAV F8</t>
  </si>
  <si>
    <t>BMN 331</t>
  </si>
  <si>
    <t>I</t>
  </si>
  <si>
    <t>HAE</t>
  </si>
  <si>
    <t>BMN 307</t>
  </si>
  <si>
    <t>PC</t>
  </si>
  <si>
    <t>BMN 255</t>
  </si>
  <si>
    <t>Hyperoxaluria</t>
  </si>
  <si>
    <t>BMN 349</t>
  </si>
  <si>
    <t>A1AT</t>
  </si>
  <si>
    <t>BMN 351</t>
  </si>
  <si>
    <t>DMD</t>
  </si>
  <si>
    <t>BMN 293/DINA-001</t>
  </si>
  <si>
    <t>HCM</t>
  </si>
  <si>
    <t>Main</t>
  </si>
  <si>
    <t>Revenue</t>
  </si>
  <si>
    <t>Q120</t>
  </si>
  <si>
    <t>Q220</t>
  </si>
  <si>
    <t>Q320</t>
  </si>
  <si>
    <t>Q420</t>
  </si>
  <si>
    <t>Q121</t>
  </si>
  <si>
    <t>Q221</t>
  </si>
  <si>
    <t>Q321</t>
  </si>
  <si>
    <t>Q421</t>
  </si>
  <si>
    <t>Q122</t>
  </si>
  <si>
    <t>Q322</t>
  </si>
  <si>
    <t>Q422</t>
  </si>
  <si>
    <t>Royalty</t>
  </si>
  <si>
    <t>Products</t>
  </si>
  <si>
    <t>COGS</t>
  </si>
  <si>
    <t>Gross Profit</t>
  </si>
  <si>
    <t>Operating Income</t>
  </si>
  <si>
    <t>Operating Expenses</t>
  </si>
  <si>
    <t>R&amp;D</t>
  </si>
  <si>
    <t>SG&amp;A</t>
  </si>
  <si>
    <t>EPS</t>
  </si>
  <si>
    <t>Net Profit</t>
  </si>
  <si>
    <t>Interest Expense</t>
  </si>
  <si>
    <t>Pretax Income</t>
  </si>
  <si>
    <t>Taxes</t>
  </si>
  <si>
    <t>Revenue y/y</t>
  </si>
  <si>
    <t>Gross Margin</t>
  </si>
  <si>
    <t>Vimizim</t>
  </si>
  <si>
    <t>Naglazyme</t>
  </si>
  <si>
    <t>Palynziq</t>
  </si>
  <si>
    <t>Kuvan</t>
  </si>
  <si>
    <t>Brineura</t>
  </si>
  <si>
    <t>Voxzogo</t>
  </si>
  <si>
    <t>Aldurazyme</t>
  </si>
  <si>
    <t>US</t>
  </si>
  <si>
    <t>EU</t>
  </si>
  <si>
    <t>ROW</t>
  </si>
  <si>
    <t>LatAm</t>
  </si>
  <si>
    <t>SG&amp;A y/y</t>
  </si>
  <si>
    <t>Vimizim y/y</t>
  </si>
  <si>
    <t>Discount</t>
  </si>
  <si>
    <t>Maturity</t>
  </si>
  <si>
    <t>NPV</t>
  </si>
  <si>
    <t>Share</t>
  </si>
  <si>
    <t>Net Cash</t>
  </si>
  <si>
    <t>ROIC</t>
  </si>
  <si>
    <t>Val/Vox</t>
  </si>
  <si>
    <t>Delta</t>
  </si>
  <si>
    <t>Brand</t>
  </si>
  <si>
    <t>Generic</t>
  </si>
  <si>
    <t>Clinical Trials</t>
  </si>
  <si>
    <t>Regulatory</t>
  </si>
  <si>
    <t>BLA accepted 10/12/2022, PDUFA 3/31/2023</t>
  </si>
  <si>
    <t>No participants have developed inhibitors to Factor VIII, thromboembolic events or malignancy associated with valoctocogene roxaparvovec.</t>
  </si>
  <si>
    <t>ValRox Treated</t>
  </si>
  <si>
    <t>US Patient Pool</t>
  </si>
  <si>
    <t>AAV5 Factor VIII gene therapy</t>
  </si>
  <si>
    <t>Hemophilia A. 1:10,000 people have hemophilia A</t>
  </si>
  <si>
    <t>Roctavian (valoctogene roxaparvovec)</t>
  </si>
  <si>
    <t>CCO: Jeff Ajer</t>
  </si>
  <si>
    <t>EU approved 8/24/22, sales start in Q422</t>
  </si>
  <si>
    <t>20,000 in 70 countries in Europe, 8,000 in "footprint", 3,200 "indicated"</t>
  </si>
  <si>
    <t>Cumulative</t>
  </si>
  <si>
    <t>Manufacturing</t>
  </si>
  <si>
    <t>Baculovirus</t>
  </si>
  <si>
    <t>Phase III "GENEr8-1" n=134 Hemophilia A</t>
  </si>
  <si>
    <t>PE at 104 weeks F8 activity</t>
  </si>
  <si>
    <t>6 months</t>
  </si>
  <si>
    <t>12 months</t>
  </si>
  <si>
    <t>18 months</t>
  </si>
  <si>
    <t>24 months</t>
  </si>
  <si>
    <t>36 months</t>
  </si>
  <si>
    <t>CSA</t>
  </si>
  <si>
    <t>OSA</t>
  </si>
  <si>
    <t>&lt;=5 IU/dL</t>
  </si>
  <si>
    <t>6E13 - 74% of patients had 0 bleeds at 2 years</t>
  </si>
  <si>
    <t>Competition</t>
  </si>
  <si>
    <t>Belief Biomed BBM 002, DTX201/BAY2599023, ASC Therapeutics ASC 618, SPK-8011 (Roche), PF-07055480, Expression Therapeutics, LLC, SPK-8016 (Roche), Freeline Therapeutics, CSL AMT-061</t>
  </si>
  <si>
    <t>L+SE</t>
  </si>
  <si>
    <t>SE</t>
  </si>
  <si>
    <t>AR</t>
  </si>
  <si>
    <t>Inventory</t>
  </si>
  <si>
    <t>OCA</t>
  </si>
  <si>
    <t>PP&amp;E</t>
  </si>
  <si>
    <t>Goodwill</t>
  </si>
  <si>
    <t>DT</t>
  </si>
  <si>
    <t>Other</t>
  </si>
  <si>
    <t>Assets</t>
  </si>
  <si>
    <t>AP</t>
  </si>
  <si>
    <t>CoCo</t>
  </si>
  <si>
    <t>OLTL</t>
  </si>
  <si>
    <t>Q123</t>
  </si>
  <si>
    <t>Q223</t>
  </si>
  <si>
    <t>Q323</t>
  </si>
  <si>
    <t>Q423</t>
  </si>
  <si>
    <t>3/31/23 PDUFA</t>
  </si>
  <si>
    <t>Q224</t>
  </si>
  <si>
    <t>Q124</t>
  </si>
  <si>
    <t>Q324</t>
  </si>
  <si>
    <t>Q424</t>
  </si>
  <si>
    <t>CFFO</t>
  </si>
  <si>
    <t>Q125</t>
  </si>
  <si>
    <t>Q225</t>
  </si>
  <si>
    <t>Q325</t>
  </si>
  <si>
    <t>Q425</t>
  </si>
  <si>
    <t>Roctavian</t>
  </si>
  <si>
    <t>Model NI</t>
  </si>
  <si>
    <t>Reported NI</t>
  </si>
  <si>
    <t>CIC</t>
  </si>
  <si>
    <t>DX</t>
  </si>
  <si>
    <t>CFFF</t>
  </si>
  <si>
    <t>D&amp;A</t>
  </si>
  <si>
    <t>Non-Cash Interest Expense</t>
  </si>
  <si>
    <t>Accretion of Discount</t>
  </si>
  <si>
    <t>SBC</t>
  </si>
  <si>
    <t>Impairment</t>
  </si>
  <si>
    <t>Unrealized FX</t>
  </si>
  <si>
    <t>WC</t>
  </si>
  <si>
    <t>CFFI</t>
  </si>
  <si>
    <t>Investments</t>
  </si>
  <si>
    <t>Revenue CC</t>
  </si>
  <si>
    <t>CEO: Alexander Hardy</t>
  </si>
  <si>
    <t>vosoritide</t>
  </si>
  <si>
    <t>hypochondroplasia</t>
  </si>
  <si>
    <t>"CANOPY"</t>
  </si>
  <si>
    <t>BMN 333</t>
  </si>
  <si>
    <t>long-acting CNP</t>
  </si>
  <si>
    <t>CNP</t>
  </si>
  <si>
    <t>Phase III "hypochondroplasia"</t>
  </si>
  <si>
    <t>achondroplasia results in adult height of 3.5-4.5 feet.</t>
  </si>
  <si>
    <t>1:27000 people, autosomal dominant FGFR3 mutations</t>
  </si>
  <si>
    <t>oligo</t>
  </si>
  <si>
    <t>BMN370 - vWD discontinued</t>
  </si>
  <si>
    <t>Q226</t>
  </si>
  <si>
    <t>Q326</t>
  </si>
  <si>
    <t>Q426</t>
  </si>
  <si>
    <t>Q126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</si>
</sst>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0">
    <xf numFmtId="0" fontId="0" fillId="0" borderId="0" xfId="0"/>
    <xf numFmtId="4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3" fontId="1" fillId="0" borderId="0" xfId="0" applyNumberFormat="1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2" xfId="0" applyBorder="1" applyAlignment="1">
      <alignment horizontal="right"/>
    </xf>
    <xf numFmtId="14" fontId="0" fillId="0" borderId="0" xfId="0" applyNumberFormat="1" applyAlignment="1">
      <alignment horizontal="right"/>
    </xf>
    <xf numFmtId="0" fontId="0" fillId="0" borderId="7" xfId="0" applyBorder="1" applyAlignment="1">
      <alignment horizontal="right"/>
    </xf>
    <xf numFmtId="9" fontId="0" fillId="0" borderId="0" xfId="0" applyNumberFormat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2" fillId="0" borderId="0" xfId="1"/>
    <xf numFmtId="0" fontId="1" fillId="0" borderId="0" xfId="0" applyFont="1"/>
    <xf numFmtId="0" fontId="1" fillId="0" borderId="0" xfId="0" applyFont="1" applyAlignment="1">
      <alignment horizontal="right"/>
    </xf>
    <xf numFmtId="3" fontId="0" fillId="0" borderId="0" xfId="0" applyNumberFormat="1" applyAlignment="1">
      <alignment horizontal="right"/>
    </xf>
    <xf numFmtId="3" fontId="1" fillId="0" borderId="0" xfId="0" applyNumberFormat="1" applyFont="1" applyAlignment="1">
      <alignment horizontal="right"/>
    </xf>
    <xf numFmtId="4" fontId="0" fillId="0" borderId="0" xfId="0" applyNumberFormat="1" applyAlignment="1">
      <alignment horizontal="right"/>
    </xf>
    <xf numFmtId="9" fontId="1" fillId="0" borderId="0" xfId="0" applyNumberFormat="1" applyFont="1" applyAlignment="1">
      <alignment horizontal="right"/>
    </xf>
    <xf numFmtId="9" fontId="1" fillId="0" borderId="0" xfId="0" applyNumberFormat="1" applyFont="1"/>
    <xf numFmtId="9" fontId="0" fillId="0" borderId="0" xfId="0" applyNumberFormat="1"/>
    <xf numFmtId="0" fontId="3" fillId="0" borderId="0" xfId="0" applyFont="1"/>
    <xf numFmtId="4" fontId="0" fillId="0" borderId="4" xfId="0" applyNumberFormat="1" applyBorder="1"/>
    <xf numFmtId="4" fontId="0" fillId="0" borderId="6" xfId="0" applyNumberFormat="1" applyBorder="1"/>
    <xf numFmtId="4" fontId="0" fillId="0" borderId="10" xfId="0" applyNumberFormat="1" applyBorder="1"/>
    <xf numFmtId="4" fontId="0" fillId="2" borderId="9" xfId="0" applyNumberFormat="1" applyFill="1" applyBorder="1"/>
    <xf numFmtId="9" fontId="1" fillId="2" borderId="0" xfId="0" applyNumberFormat="1" applyFont="1" applyFill="1"/>
    <xf numFmtId="9" fontId="0" fillId="3" borderId="0" xfId="0" applyNumberFormat="1" applyFill="1"/>
    <xf numFmtId="9" fontId="0" fillId="4" borderId="0" xfId="0" applyNumberFormat="1" applyFill="1"/>
    <xf numFmtId="4" fontId="1" fillId="4" borderId="0" xfId="0" applyNumberFormat="1" applyFont="1" applyFill="1"/>
    <xf numFmtId="4" fontId="0" fillId="4" borderId="10" xfId="0" applyNumberFormat="1" applyFill="1" applyBorder="1"/>
    <xf numFmtId="4" fontId="0" fillId="4" borderId="0" xfId="0" applyNumberFormat="1" applyFill="1"/>
    <xf numFmtId="4" fontId="0" fillId="4" borderId="8" xfId="0" applyNumberFormat="1" applyFill="1" applyBorder="1"/>
    <xf numFmtId="9" fontId="1" fillId="3" borderId="0" xfId="0" applyNumberFormat="1" applyFont="1" applyFill="1"/>
    <xf numFmtId="4" fontId="1" fillId="0" borderId="10" xfId="0" applyNumberFormat="1" applyFont="1" applyBorder="1"/>
    <xf numFmtId="4" fontId="1" fillId="0" borderId="0" xfId="0" applyNumberFormat="1" applyFont="1"/>
    <xf numFmtId="4" fontId="1" fillId="0" borderId="7" xfId="0" applyNumberFormat="1" applyFont="1" applyBorder="1"/>
    <xf numFmtId="0" fontId="2" fillId="0" borderId="4" xfId="1" applyBorder="1"/>
    <xf numFmtId="11" fontId="0" fillId="0" borderId="0" xfId="0" applyNumberFormat="1"/>
    <xf numFmtId="0" fontId="1" fillId="0" borderId="4" xfId="0" applyFont="1" applyBorder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1440AA1A-2E44-4A6B-A9B5-22F40703926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41093</xdr:colOff>
      <xdr:row>0</xdr:row>
      <xdr:rowOff>0</xdr:rowOff>
    </xdr:from>
    <xdr:to>
      <xdr:col>23</xdr:col>
      <xdr:colOff>41093</xdr:colOff>
      <xdr:row>86</xdr:row>
      <xdr:rowOff>43961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20948877-654B-BFB3-1647-625114A49D41}"/>
            </a:ext>
          </a:extLst>
        </xdr:cNvPr>
        <xdr:cNvCxnSpPr/>
      </xdr:nvCxnSpPr>
      <xdr:spPr>
        <a:xfrm>
          <a:off x="15071055" y="0"/>
          <a:ext cx="0" cy="1391626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65614</xdr:colOff>
      <xdr:row>0</xdr:row>
      <xdr:rowOff>63500</xdr:rowOff>
    </xdr:from>
    <xdr:to>
      <xdr:col>39</xdr:col>
      <xdr:colOff>65614</xdr:colOff>
      <xdr:row>46</xdr:row>
      <xdr:rowOff>134937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C6B76C57-8012-4D5F-8D3D-257B1CBEBF90}"/>
            </a:ext>
          </a:extLst>
        </xdr:cNvPr>
        <xdr:cNvCxnSpPr/>
      </xdr:nvCxnSpPr>
      <xdr:spPr>
        <a:xfrm>
          <a:off x="22451806" y="63500"/>
          <a:ext cx="0" cy="749605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2D52D-8D10-4D01-9D30-7F79A6792282}">
  <dimension ref="B2:M24"/>
  <sheetViews>
    <sheetView zoomScale="115" zoomScaleNormal="115" workbookViewId="0">
      <selection activeCell="B20" sqref="B20"/>
    </sheetView>
  </sheetViews>
  <sheetFormatPr defaultRowHeight="12.5" x14ac:dyDescent="0.25"/>
  <cols>
    <col min="1" max="1" width="2.7265625" customWidth="1"/>
    <col min="2" max="2" width="35.453125" customWidth="1"/>
    <col min="3" max="3" width="13.54296875" customWidth="1"/>
    <col min="4" max="4" width="16.26953125" customWidth="1"/>
    <col min="5" max="6" width="12.54296875" customWidth="1"/>
    <col min="9" max="10" width="4.81640625" customWidth="1"/>
    <col min="13" max="13" width="8.453125" customWidth="1"/>
  </cols>
  <sheetData>
    <row r="2" spans="2:13" x14ac:dyDescent="0.25">
      <c r="B2" s="5" t="s">
        <v>7</v>
      </c>
      <c r="C2" s="6" t="s">
        <v>15</v>
      </c>
      <c r="D2" s="13" t="s">
        <v>22</v>
      </c>
      <c r="E2" s="13" t="s">
        <v>23</v>
      </c>
      <c r="F2" s="13" t="s">
        <v>33</v>
      </c>
      <c r="G2" s="13" t="s">
        <v>26</v>
      </c>
      <c r="H2" s="17" t="s">
        <v>27</v>
      </c>
      <c r="K2" t="s">
        <v>0</v>
      </c>
      <c r="L2" s="1">
        <v>58.91</v>
      </c>
      <c r="M2" s="30"/>
    </row>
    <row r="3" spans="2:13" x14ac:dyDescent="0.25">
      <c r="B3" s="47" t="s">
        <v>8</v>
      </c>
      <c r="C3" t="s">
        <v>16</v>
      </c>
      <c r="D3" s="14">
        <v>44519</v>
      </c>
      <c r="E3" s="16">
        <v>1</v>
      </c>
      <c r="F3" s="16" t="s">
        <v>177</v>
      </c>
      <c r="G3" s="3"/>
      <c r="H3" s="18"/>
      <c r="K3" t="s">
        <v>1</v>
      </c>
      <c r="L3" s="2">
        <v>196</v>
      </c>
      <c r="M3" s="3" t="s">
        <v>151</v>
      </c>
    </row>
    <row r="4" spans="2:13" x14ac:dyDescent="0.25">
      <c r="B4" s="8" t="s">
        <v>9</v>
      </c>
      <c r="C4" t="s">
        <v>17</v>
      </c>
      <c r="D4" s="14">
        <v>43244</v>
      </c>
      <c r="E4" s="16">
        <v>1</v>
      </c>
      <c r="F4" s="16"/>
      <c r="G4" s="3"/>
      <c r="H4" s="18"/>
      <c r="K4" t="s">
        <v>2</v>
      </c>
      <c r="L4" s="2">
        <f>+L2*L3</f>
        <v>11546.359999999999</v>
      </c>
    </row>
    <row r="5" spans="2:13" x14ac:dyDescent="0.25">
      <c r="B5" s="8" t="s">
        <v>10</v>
      </c>
      <c r="C5" t="s">
        <v>18</v>
      </c>
      <c r="D5" s="14">
        <v>42852</v>
      </c>
      <c r="E5" s="16">
        <v>1</v>
      </c>
      <c r="F5" s="16"/>
      <c r="G5" s="3"/>
      <c r="H5" s="18"/>
      <c r="K5" t="s">
        <v>3</v>
      </c>
      <c r="L5" s="2">
        <v>1779</v>
      </c>
      <c r="M5" s="3" t="s">
        <v>151</v>
      </c>
    </row>
    <row r="6" spans="2:13" x14ac:dyDescent="0.25">
      <c r="B6" s="8" t="s">
        <v>11</v>
      </c>
      <c r="C6" t="s">
        <v>19</v>
      </c>
      <c r="D6" s="14">
        <v>41684</v>
      </c>
      <c r="E6" s="16">
        <v>1</v>
      </c>
      <c r="F6" s="16" t="s">
        <v>34</v>
      </c>
      <c r="G6" s="3"/>
      <c r="H6" s="18"/>
      <c r="K6" t="s">
        <v>4</v>
      </c>
      <c r="L6" s="2">
        <v>596</v>
      </c>
      <c r="M6" s="3" t="s">
        <v>151</v>
      </c>
    </row>
    <row r="7" spans="2:13" x14ac:dyDescent="0.25">
      <c r="B7" s="8" t="s">
        <v>12</v>
      </c>
      <c r="C7" t="s">
        <v>17</v>
      </c>
      <c r="D7" s="14">
        <v>39429</v>
      </c>
      <c r="E7" s="3" t="s">
        <v>25</v>
      </c>
      <c r="F7" s="3"/>
      <c r="G7" s="3" t="s">
        <v>28</v>
      </c>
      <c r="H7" s="18"/>
      <c r="K7" t="s">
        <v>5</v>
      </c>
      <c r="L7" s="2">
        <f>+L4-L5+L6</f>
        <v>10363.359999999999</v>
      </c>
    </row>
    <row r="8" spans="2:13" x14ac:dyDescent="0.25">
      <c r="B8" s="8" t="s">
        <v>13</v>
      </c>
      <c r="C8" t="s">
        <v>20</v>
      </c>
      <c r="D8" s="14">
        <v>38503</v>
      </c>
      <c r="E8" s="16">
        <v>1</v>
      </c>
      <c r="F8" s="16" t="s">
        <v>34</v>
      </c>
      <c r="G8" s="3"/>
      <c r="H8" s="18"/>
    </row>
    <row r="9" spans="2:13" x14ac:dyDescent="0.25">
      <c r="B9" s="8" t="s">
        <v>14</v>
      </c>
      <c r="C9" t="s">
        <v>21</v>
      </c>
      <c r="D9" s="14">
        <v>37741</v>
      </c>
      <c r="E9" s="3" t="s">
        <v>24</v>
      </c>
      <c r="F9" s="3" t="s">
        <v>34</v>
      </c>
      <c r="G9" s="3"/>
      <c r="H9" s="18"/>
      <c r="K9" t="s">
        <v>171</v>
      </c>
    </row>
    <row r="10" spans="2:13" x14ac:dyDescent="0.25">
      <c r="B10" s="47" t="s">
        <v>108</v>
      </c>
      <c r="C10" t="s">
        <v>31</v>
      </c>
      <c r="D10" s="20" t="s">
        <v>145</v>
      </c>
      <c r="E10" s="30">
        <v>1</v>
      </c>
      <c r="F10" s="16" t="s">
        <v>35</v>
      </c>
      <c r="G10" s="3" t="s">
        <v>32</v>
      </c>
      <c r="H10" s="9"/>
      <c r="K10" t="s">
        <v>109</v>
      </c>
    </row>
    <row r="11" spans="2:13" x14ac:dyDescent="0.25">
      <c r="B11" s="5"/>
      <c r="C11" s="6"/>
      <c r="D11" s="19" t="s">
        <v>30</v>
      </c>
      <c r="E11" s="6"/>
      <c r="F11" s="13"/>
      <c r="G11" s="13"/>
      <c r="H11" s="7"/>
    </row>
    <row r="12" spans="2:13" x14ac:dyDescent="0.25">
      <c r="B12" s="8" t="s">
        <v>36</v>
      </c>
      <c r="C12" t="s">
        <v>38</v>
      </c>
      <c r="D12" s="20" t="s">
        <v>37</v>
      </c>
      <c r="F12" s="3"/>
      <c r="G12" s="3"/>
      <c r="H12" s="9"/>
    </row>
    <row r="13" spans="2:13" x14ac:dyDescent="0.25">
      <c r="B13" s="8" t="s">
        <v>39</v>
      </c>
      <c r="C13" t="s">
        <v>17</v>
      </c>
      <c r="D13" s="20" t="s">
        <v>40</v>
      </c>
      <c r="F13" s="3"/>
      <c r="G13" s="3"/>
      <c r="H13" s="9"/>
    </row>
    <row r="14" spans="2:13" x14ac:dyDescent="0.25">
      <c r="B14" s="8" t="s">
        <v>41</v>
      </c>
      <c r="C14" t="s">
        <v>42</v>
      </c>
      <c r="D14" s="20" t="s">
        <v>40</v>
      </c>
      <c r="F14" s="3"/>
      <c r="G14" s="3"/>
      <c r="H14" s="9"/>
    </row>
    <row r="15" spans="2:13" x14ac:dyDescent="0.25">
      <c r="B15" s="8" t="s">
        <v>175</v>
      </c>
      <c r="C15" t="s">
        <v>16</v>
      </c>
      <c r="D15" s="20" t="s">
        <v>37</v>
      </c>
      <c r="F15" s="3" t="s">
        <v>176</v>
      </c>
      <c r="G15" s="3"/>
      <c r="H15" s="9"/>
    </row>
    <row r="16" spans="2:13" x14ac:dyDescent="0.25">
      <c r="B16" s="8" t="s">
        <v>43</v>
      </c>
      <c r="C16" t="s">
        <v>44</v>
      </c>
      <c r="D16" s="20" t="s">
        <v>37</v>
      </c>
      <c r="F16" s="3"/>
      <c r="G16" s="3"/>
      <c r="H16" s="9"/>
    </row>
    <row r="17" spans="2:8" ht="13" x14ac:dyDescent="0.3">
      <c r="B17" s="49" t="s">
        <v>45</v>
      </c>
      <c r="C17" s="23" t="s">
        <v>46</v>
      </c>
      <c r="D17" s="20" t="s">
        <v>37</v>
      </c>
      <c r="F17" s="3" t="s">
        <v>181</v>
      </c>
      <c r="G17" s="3"/>
      <c r="H17" s="9"/>
    </row>
    <row r="18" spans="2:8" x14ac:dyDescent="0.25">
      <c r="B18" s="10" t="s">
        <v>47</v>
      </c>
      <c r="C18" s="11" t="s">
        <v>48</v>
      </c>
      <c r="D18" s="21" t="s">
        <v>40</v>
      </c>
      <c r="E18" s="11"/>
      <c r="F18" s="15"/>
      <c r="G18" s="15"/>
      <c r="H18" s="12"/>
    </row>
    <row r="20" spans="2:8" x14ac:dyDescent="0.25">
      <c r="B20" t="s">
        <v>182</v>
      </c>
    </row>
    <row r="22" spans="2:8" ht="13" x14ac:dyDescent="0.3">
      <c r="B22" s="23"/>
    </row>
    <row r="23" spans="2:8" ht="13" x14ac:dyDescent="0.3">
      <c r="B23" s="23"/>
    </row>
    <row r="24" spans="2:8" ht="13" x14ac:dyDescent="0.3">
      <c r="B24" s="23"/>
    </row>
  </sheetData>
  <hyperlinks>
    <hyperlink ref="B10" location="valrox!A1" display="Roctavian (valoctogene roxaparvovec)" xr:uid="{E70517BA-A69B-4419-96B8-40614DF47CFE}"/>
    <hyperlink ref="B3" location="Voxzogo!A1" display="Voxzogo (vosoritide)" xr:uid="{A62DE089-F293-4ECE-856A-F738D6FD5BD5}"/>
  </hyperlink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97BFD-C986-43B5-AFE7-A2D1E0EBF425}">
  <dimension ref="A1:DV75"/>
  <sheetViews>
    <sheetView tabSelected="1" zoomScale="130" zoomScaleNormal="130" workbookViewId="0">
      <pane xSplit="2" ySplit="2" topLeftCell="T3" activePane="bottomRight" state="frozen"/>
      <selection pane="topRight" activeCell="C1" sqref="C1"/>
      <selection pane="bottomLeft" activeCell="A3" sqref="A3"/>
      <selection pane="bottomRight" activeCell="AA10" sqref="AA10"/>
    </sheetView>
  </sheetViews>
  <sheetFormatPr defaultRowHeight="12.5" x14ac:dyDescent="0.25"/>
  <cols>
    <col min="1" max="1" width="5" bestFit="1" customWidth="1"/>
    <col min="2" max="2" width="18.1796875" bestFit="1" customWidth="1"/>
    <col min="3" max="22" width="9.1796875" style="3"/>
    <col min="23" max="25" width="8.7265625" style="3"/>
    <col min="26" max="26" width="9.1796875" style="3"/>
    <col min="27" max="30" width="8.7265625" style="3"/>
    <col min="47" max="47" width="11.1796875" bestFit="1" customWidth="1"/>
  </cols>
  <sheetData>
    <row r="1" spans="1:45" x14ac:dyDescent="0.25">
      <c r="A1" s="22" t="s">
        <v>49</v>
      </c>
    </row>
    <row r="2" spans="1:45" x14ac:dyDescent="0.25">
      <c r="C2" s="3" t="s">
        <v>51</v>
      </c>
      <c r="D2" s="3" t="s">
        <v>52</v>
      </c>
      <c r="E2" s="3" t="s">
        <v>53</v>
      </c>
      <c r="F2" s="3" t="s">
        <v>54</v>
      </c>
      <c r="G2" s="3" t="s">
        <v>55</v>
      </c>
      <c r="H2" s="3" t="s">
        <v>56</v>
      </c>
      <c r="I2" s="3" t="s">
        <v>57</v>
      </c>
      <c r="J2" s="3" t="s">
        <v>58</v>
      </c>
      <c r="K2" s="3" t="s">
        <v>59</v>
      </c>
      <c r="L2" s="3" t="s">
        <v>6</v>
      </c>
      <c r="M2" s="3" t="s">
        <v>60</v>
      </c>
      <c r="N2" s="3" t="s">
        <v>61</v>
      </c>
      <c r="O2" s="3" t="s">
        <v>141</v>
      </c>
      <c r="P2" s="3" t="s">
        <v>142</v>
      </c>
      <c r="Q2" s="3" t="s">
        <v>143</v>
      </c>
      <c r="R2" s="3" t="s">
        <v>144</v>
      </c>
      <c r="S2" s="3" t="s">
        <v>147</v>
      </c>
      <c r="T2" s="3" t="s">
        <v>146</v>
      </c>
      <c r="U2" s="3" t="s">
        <v>148</v>
      </c>
      <c r="V2" s="3" t="s">
        <v>149</v>
      </c>
      <c r="W2" s="3" t="s">
        <v>151</v>
      </c>
      <c r="X2" s="3" t="s">
        <v>152</v>
      </c>
      <c r="Y2" s="3" t="s">
        <v>153</v>
      </c>
      <c r="Z2" s="3" t="s">
        <v>154</v>
      </c>
      <c r="AA2" s="3" t="s">
        <v>186</v>
      </c>
      <c r="AB2" s="3" t="s">
        <v>183</v>
      </c>
      <c r="AC2" s="3" t="s">
        <v>184</v>
      </c>
      <c r="AD2" s="3" t="s">
        <v>185</v>
      </c>
      <c r="AG2">
        <v>2018</v>
      </c>
      <c r="AH2">
        <f>+AG2+1</f>
        <v>2019</v>
      </c>
      <c r="AI2">
        <f>+AH2+1</f>
        <v>2020</v>
      </c>
      <c r="AJ2">
        <f>+AI2+1</f>
        <v>2021</v>
      </c>
      <c r="AK2">
        <f t="shared" ref="AK2:AS2" si="0">+AJ2+1</f>
        <v>2022</v>
      </c>
      <c r="AL2">
        <f t="shared" si="0"/>
        <v>2023</v>
      </c>
      <c r="AM2">
        <f t="shared" si="0"/>
        <v>2024</v>
      </c>
      <c r="AN2">
        <f t="shared" si="0"/>
        <v>2025</v>
      </c>
      <c r="AO2">
        <f t="shared" si="0"/>
        <v>2026</v>
      </c>
      <c r="AP2">
        <f t="shared" si="0"/>
        <v>2027</v>
      </c>
      <c r="AQ2">
        <f t="shared" si="0"/>
        <v>2028</v>
      </c>
      <c r="AR2">
        <f t="shared" si="0"/>
        <v>2029</v>
      </c>
      <c r="AS2">
        <f t="shared" si="0"/>
        <v>2030</v>
      </c>
    </row>
    <row r="3" spans="1:45" s="2" customFormat="1" x14ac:dyDescent="0.25">
      <c r="B3" s="2" t="s">
        <v>84</v>
      </c>
      <c r="C3" s="25"/>
      <c r="D3" s="25"/>
      <c r="E3" s="25"/>
      <c r="F3" s="25"/>
      <c r="G3" s="25"/>
      <c r="H3" s="25">
        <v>169.411</v>
      </c>
      <c r="I3" s="25">
        <v>166.554</v>
      </c>
      <c r="J3" s="25"/>
      <c r="K3" s="25"/>
      <c r="L3" s="25">
        <v>169.83799999999999</v>
      </c>
      <c r="M3" s="25">
        <v>176.55199999999999</v>
      </c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</row>
    <row r="4" spans="1:45" s="2" customFormat="1" x14ac:dyDescent="0.25">
      <c r="B4" s="2" t="s">
        <v>85</v>
      </c>
      <c r="C4" s="25"/>
      <c r="D4" s="25"/>
      <c r="E4" s="25"/>
      <c r="F4" s="25"/>
      <c r="G4" s="25"/>
      <c r="H4" s="25">
        <v>166.70400000000001</v>
      </c>
      <c r="I4" s="25">
        <v>108.568</v>
      </c>
      <c r="J4" s="25"/>
      <c r="K4" s="25"/>
      <c r="L4" s="25">
        <v>161.22999999999999</v>
      </c>
      <c r="M4" s="25">
        <v>162.583</v>
      </c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</row>
    <row r="5" spans="1:45" s="2" customFormat="1" x14ac:dyDescent="0.25">
      <c r="B5" s="2" t="s">
        <v>87</v>
      </c>
      <c r="C5" s="25"/>
      <c r="D5" s="25"/>
      <c r="E5" s="25"/>
      <c r="F5" s="25"/>
      <c r="G5" s="25"/>
      <c r="H5" s="25">
        <v>42.247999999999998</v>
      </c>
      <c r="I5" s="25">
        <v>38.957999999999998</v>
      </c>
      <c r="J5" s="25"/>
      <c r="K5" s="25"/>
      <c r="L5" s="25">
        <v>89.911000000000001</v>
      </c>
      <c r="M5" s="25">
        <v>60.790999999999997</v>
      </c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</row>
    <row r="6" spans="1:45" s="2" customFormat="1" x14ac:dyDescent="0.25">
      <c r="B6" s="2" t="s">
        <v>86</v>
      </c>
      <c r="C6" s="25"/>
      <c r="D6" s="25"/>
      <c r="E6" s="25"/>
      <c r="F6" s="25"/>
      <c r="G6" s="25"/>
      <c r="H6" s="25">
        <v>80.179000000000002</v>
      </c>
      <c r="I6" s="25">
        <v>55.38</v>
      </c>
      <c r="J6" s="25"/>
      <c r="K6" s="25"/>
      <c r="L6" s="25">
        <v>59.353999999999999</v>
      </c>
      <c r="M6" s="25">
        <v>64.376000000000005</v>
      </c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</row>
    <row r="7" spans="1:45" x14ac:dyDescent="0.25">
      <c r="H7" s="25"/>
      <c r="I7" s="25"/>
      <c r="J7" s="25"/>
      <c r="K7" s="25"/>
      <c r="L7" s="25"/>
    </row>
    <row r="8" spans="1:45" s="2" customFormat="1" x14ac:dyDescent="0.25">
      <c r="B8" s="2" t="s">
        <v>77</v>
      </c>
      <c r="C8" s="25"/>
      <c r="D8" s="25"/>
      <c r="E8" s="25">
        <v>147.9</v>
      </c>
      <c r="F8" s="25">
        <v>142.5</v>
      </c>
      <c r="G8" s="25">
        <v>158.4</v>
      </c>
      <c r="H8" s="25">
        <v>171.655</v>
      </c>
      <c r="I8" s="25">
        <v>136.9</v>
      </c>
      <c r="J8" s="25">
        <v>156.30000000000001</v>
      </c>
      <c r="K8" s="25">
        <v>183</v>
      </c>
      <c r="L8" s="25">
        <v>173.20599999999999</v>
      </c>
      <c r="M8" s="25">
        <v>155.47</v>
      </c>
      <c r="N8" s="25">
        <v>152.1</v>
      </c>
      <c r="O8" s="25">
        <v>189.19200000000001</v>
      </c>
      <c r="P8" s="25">
        <v>177.392</v>
      </c>
      <c r="Q8" s="25">
        <v>158.9</v>
      </c>
      <c r="R8" s="25">
        <v>175.6</v>
      </c>
      <c r="S8" s="25">
        <v>192.52</v>
      </c>
      <c r="T8" s="25">
        <v>178.01599999999999</v>
      </c>
      <c r="U8" s="25">
        <v>178</v>
      </c>
      <c r="V8" s="25">
        <v>191</v>
      </c>
      <c r="W8" s="25">
        <v>188</v>
      </c>
      <c r="X8" s="25">
        <f>+T8*1.05</f>
        <v>186.91679999999999</v>
      </c>
      <c r="Y8" s="25">
        <f>+U8*1.05</f>
        <v>186.9</v>
      </c>
      <c r="Z8" s="25">
        <f>+V8*1.05</f>
        <v>200.55</v>
      </c>
      <c r="AA8" s="25">
        <v>210</v>
      </c>
      <c r="AB8" s="25"/>
      <c r="AC8" s="25"/>
      <c r="AD8" s="25"/>
      <c r="AH8" s="2">
        <v>544.29999999999995</v>
      </c>
      <c r="AI8" s="2">
        <v>544.4</v>
      </c>
      <c r="AJ8" s="2">
        <f>SUM(G8:J8)</f>
        <v>623.25500000000011</v>
      </c>
      <c r="AK8" s="2">
        <f>SUM(K8:N8)</f>
        <v>663.77600000000007</v>
      </c>
      <c r="AL8" s="2">
        <f t="shared" ref="AL8:AL15" si="1">SUM(O8:R8)</f>
        <v>701.08400000000006</v>
      </c>
      <c r="AM8" s="2">
        <f t="shared" ref="AM8:AM15" si="2">SUM(S8:V8)</f>
        <v>739.53600000000006</v>
      </c>
      <c r="AN8" s="2">
        <f t="shared" ref="AN8:AN15" si="3">SUM(W8:Z8)</f>
        <v>762.36680000000001</v>
      </c>
      <c r="AO8" s="2">
        <f t="shared" ref="AO8:AS8" si="4">+AN8*1.04</f>
        <v>792.86147200000005</v>
      </c>
      <c r="AP8" s="2">
        <f t="shared" si="4"/>
        <v>824.5759308800001</v>
      </c>
      <c r="AQ8" s="2">
        <f t="shared" si="4"/>
        <v>857.55896811520017</v>
      </c>
      <c r="AR8" s="2">
        <f t="shared" si="4"/>
        <v>891.86132683980816</v>
      </c>
      <c r="AS8" s="2">
        <f t="shared" si="4"/>
        <v>927.53577991340046</v>
      </c>
    </row>
    <row r="9" spans="1:45" s="2" customFormat="1" x14ac:dyDescent="0.25">
      <c r="B9" s="2" t="s">
        <v>155</v>
      </c>
      <c r="C9" s="25"/>
      <c r="D9" s="25"/>
      <c r="E9" s="25"/>
      <c r="F9" s="25"/>
      <c r="G9" s="25"/>
      <c r="H9" s="25"/>
      <c r="I9" s="25"/>
      <c r="J9" s="25"/>
      <c r="K9" s="25"/>
      <c r="L9" s="25"/>
      <c r="M9" s="25">
        <v>0</v>
      </c>
      <c r="N9" s="25">
        <v>0</v>
      </c>
      <c r="O9" s="25">
        <v>0</v>
      </c>
      <c r="P9" s="25">
        <v>0</v>
      </c>
      <c r="Q9" s="25">
        <v>0.8</v>
      </c>
      <c r="R9" s="25">
        <v>2.7</v>
      </c>
      <c r="S9" s="25">
        <v>0.84899999999999998</v>
      </c>
      <c r="T9" s="25">
        <v>7.4320000000000004</v>
      </c>
      <c r="U9" s="25">
        <v>7</v>
      </c>
      <c r="V9" s="25">
        <v>11</v>
      </c>
      <c r="W9" s="25">
        <v>11</v>
      </c>
      <c r="X9" s="25">
        <f>+W9+1</f>
        <v>12</v>
      </c>
      <c r="Y9" s="25">
        <f>+X9+1</f>
        <v>13</v>
      </c>
      <c r="Z9" s="25">
        <f>+Y9+1</f>
        <v>14</v>
      </c>
      <c r="AA9" s="25">
        <v>3</v>
      </c>
      <c r="AB9" s="25"/>
      <c r="AC9" s="25"/>
      <c r="AD9" s="25"/>
      <c r="AJ9" s="2">
        <v>0</v>
      </c>
      <c r="AK9" s="2">
        <v>0</v>
      </c>
      <c r="AL9" s="2">
        <f t="shared" si="1"/>
        <v>3.5</v>
      </c>
      <c r="AM9" s="2">
        <f t="shared" si="2"/>
        <v>26.280999999999999</v>
      </c>
      <c r="AN9" s="2">
        <f t="shared" si="3"/>
        <v>50</v>
      </c>
      <c r="AO9" s="2">
        <f>+AN9*1.3</f>
        <v>65</v>
      </c>
      <c r="AP9" s="2">
        <f>+AO9*1.2</f>
        <v>78</v>
      </c>
      <c r="AQ9" s="2">
        <f>+AP9*1.2</f>
        <v>93.6</v>
      </c>
      <c r="AR9" s="2">
        <f>+AQ9*1.2</f>
        <v>112.32</v>
      </c>
      <c r="AS9" s="2">
        <f>+AR9*1.15</f>
        <v>129.16799999999998</v>
      </c>
    </row>
    <row r="10" spans="1:45" s="2" customFormat="1" x14ac:dyDescent="0.25">
      <c r="B10" s="2" t="s">
        <v>78</v>
      </c>
      <c r="C10" s="25"/>
      <c r="D10" s="25"/>
      <c r="E10" s="25">
        <v>76.3</v>
      </c>
      <c r="F10" s="25">
        <v>119.7</v>
      </c>
      <c r="G10" s="25">
        <v>107.3</v>
      </c>
      <c r="H10" s="25">
        <v>118.813</v>
      </c>
      <c r="I10" s="25">
        <v>71.2</v>
      </c>
      <c r="J10" s="25">
        <v>83.1</v>
      </c>
      <c r="K10" s="25">
        <v>128</v>
      </c>
      <c r="L10" s="25">
        <v>115.783</v>
      </c>
      <c r="M10" s="25">
        <v>99.506</v>
      </c>
      <c r="N10" s="25">
        <v>100.5</v>
      </c>
      <c r="O10" s="25">
        <v>123.021</v>
      </c>
      <c r="P10" s="25">
        <v>90.102999999999994</v>
      </c>
      <c r="Q10" s="25">
        <v>108.9</v>
      </c>
      <c r="R10" s="25">
        <v>98.3</v>
      </c>
      <c r="S10" s="25">
        <v>105.629</v>
      </c>
      <c r="T10" s="25">
        <v>132.04900000000001</v>
      </c>
      <c r="U10" s="25">
        <v>132</v>
      </c>
      <c r="V10" s="25">
        <v>110</v>
      </c>
      <c r="W10" s="25">
        <v>114</v>
      </c>
      <c r="X10" s="25">
        <f>+T10</f>
        <v>132.04900000000001</v>
      </c>
      <c r="Y10" s="25">
        <f>+U10</f>
        <v>132</v>
      </c>
      <c r="Z10" s="25">
        <f>+V10</f>
        <v>110</v>
      </c>
      <c r="AA10" s="25">
        <v>130</v>
      </c>
      <c r="AB10" s="25"/>
      <c r="AC10" s="25"/>
      <c r="AD10" s="25"/>
      <c r="AH10" s="2">
        <v>374.3</v>
      </c>
      <c r="AI10" s="2">
        <v>391.3</v>
      </c>
      <c r="AJ10" s="2">
        <f t="shared" ref="AJ10:AJ22" si="5">SUM(G10:J10)</f>
        <v>380.41300000000001</v>
      </c>
      <c r="AK10" s="2">
        <f t="shared" ref="AK10:AK22" si="6">SUM(K10:N10)</f>
        <v>443.78899999999999</v>
      </c>
      <c r="AL10" s="2">
        <f t="shared" si="1"/>
        <v>420.32400000000001</v>
      </c>
      <c r="AM10" s="2">
        <f t="shared" si="2"/>
        <v>479.678</v>
      </c>
      <c r="AN10" s="2">
        <f t="shared" si="3"/>
        <v>488.04899999999998</v>
      </c>
      <c r="AO10" s="2">
        <f t="shared" ref="AO10:AS10" si="7">+AN10*1.04</f>
        <v>507.57096000000001</v>
      </c>
      <c r="AP10" s="2">
        <f t="shared" si="7"/>
        <v>527.87379840000006</v>
      </c>
      <c r="AQ10" s="2">
        <f t="shared" si="7"/>
        <v>548.98875033600007</v>
      </c>
      <c r="AR10" s="2">
        <f t="shared" si="7"/>
        <v>570.94830034944005</v>
      </c>
      <c r="AS10" s="2">
        <f t="shared" si="7"/>
        <v>593.78623236341764</v>
      </c>
    </row>
    <row r="11" spans="1:45" s="2" customFormat="1" x14ac:dyDescent="0.25">
      <c r="B11" s="2" t="s">
        <v>79</v>
      </c>
      <c r="C11" s="25"/>
      <c r="D11" s="25"/>
      <c r="E11" s="25">
        <v>46.1</v>
      </c>
      <c r="F11" s="25">
        <v>49.6</v>
      </c>
      <c r="G11" s="25">
        <v>54</v>
      </c>
      <c r="H11" s="25">
        <v>58.935000000000002</v>
      </c>
      <c r="I11" s="25">
        <v>60.7</v>
      </c>
      <c r="J11" s="25">
        <v>63.8</v>
      </c>
      <c r="K11" s="25">
        <v>54.9</v>
      </c>
      <c r="L11" s="25">
        <v>61.643000000000001</v>
      </c>
      <c r="M11" s="25">
        <v>66.206000000000003</v>
      </c>
      <c r="N11" s="25">
        <v>72.3</v>
      </c>
      <c r="O11" s="25">
        <v>62.351999999999997</v>
      </c>
      <c r="P11" s="25">
        <v>74.867999999999995</v>
      </c>
      <c r="Q11" s="25">
        <v>78.900000000000006</v>
      </c>
      <c r="R11" s="25">
        <v>87.8</v>
      </c>
      <c r="S11" s="25">
        <v>75.709000000000003</v>
      </c>
      <c r="T11" s="25">
        <v>88.290999999999997</v>
      </c>
      <c r="U11" s="25">
        <v>91</v>
      </c>
      <c r="V11" s="25">
        <v>100</v>
      </c>
      <c r="W11" s="25">
        <v>93</v>
      </c>
      <c r="X11" s="25">
        <f>+T11*1.1</f>
        <v>97.120100000000008</v>
      </c>
      <c r="Y11" s="25">
        <f>+U11*1.1</f>
        <v>100.10000000000001</v>
      </c>
      <c r="Z11" s="25">
        <f>+V11*1.1</f>
        <v>110.00000000000001</v>
      </c>
      <c r="AA11" s="25">
        <v>90</v>
      </c>
      <c r="AB11" s="25"/>
      <c r="AC11" s="25"/>
      <c r="AD11" s="25"/>
      <c r="AH11" s="2">
        <v>86.9</v>
      </c>
      <c r="AI11" s="2">
        <v>171</v>
      </c>
      <c r="AJ11" s="2">
        <f t="shared" si="5"/>
        <v>237.435</v>
      </c>
      <c r="AK11" s="2">
        <f t="shared" si="6"/>
        <v>255.04900000000004</v>
      </c>
      <c r="AL11" s="2">
        <f t="shared" si="1"/>
        <v>303.92</v>
      </c>
      <c r="AM11" s="2">
        <f t="shared" si="2"/>
        <v>355</v>
      </c>
      <c r="AN11" s="2">
        <f t="shared" si="3"/>
        <v>400.2201</v>
      </c>
      <c r="AO11" s="2">
        <f t="shared" ref="AO11:AS11" si="8">+AN11*1.05</f>
        <v>420.23110500000001</v>
      </c>
      <c r="AP11" s="2">
        <f t="shared" si="8"/>
        <v>441.24266025000003</v>
      </c>
      <c r="AQ11" s="2">
        <f t="shared" si="8"/>
        <v>463.30479326250003</v>
      </c>
      <c r="AR11" s="2">
        <f t="shared" si="8"/>
        <v>486.47003292562505</v>
      </c>
      <c r="AS11" s="2">
        <f t="shared" si="8"/>
        <v>510.79353457190632</v>
      </c>
    </row>
    <row r="12" spans="1:45" s="2" customFormat="1" x14ac:dyDescent="0.25">
      <c r="B12" s="2" t="s">
        <v>80</v>
      </c>
      <c r="C12" s="25"/>
      <c r="D12" s="25"/>
      <c r="E12" s="25">
        <v>124.1</v>
      </c>
      <c r="F12" s="25">
        <v>89</v>
      </c>
      <c r="G12" s="25">
        <v>70.8</v>
      </c>
      <c r="H12" s="25">
        <v>78.807000000000002</v>
      </c>
      <c r="I12" s="25">
        <v>67.7</v>
      </c>
      <c r="J12" s="25">
        <v>68.5</v>
      </c>
      <c r="K12" s="25">
        <v>59.3</v>
      </c>
      <c r="L12" s="25">
        <v>57.601999999999997</v>
      </c>
      <c r="M12" s="25">
        <v>57.037999999999997</v>
      </c>
      <c r="N12" s="25">
        <v>53.6</v>
      </c>
      <c r="O12" s="25">
        <v>50.478000000000002</v>
      </c>
      <c r="P12" s="25">
        <v>50.622</v>
      </c>
      <c r="Q12" s="25">
        <v>42.9</v>
      </c>
      <c r="R12" s="25">
        <v>36.700000000000003</v>
      </c>
      <c r="S12" s="25">
        <v>35.909999999999997</v>
      </c>
      <c r="T12" s="25">
        <v>28.550999999999998</v>
      </c>
      <c r="U12" s="25">
        <v>28</v>
      </c>
      <c r="V12" s="25">
        <v>28</v>
      </c>
      <c r="W12" s="25">
        <v>25</v>
      </c>
      <c r="X12" s="25">
        <f>+W12-1</f>
        <v>24</v>
      </c>
      <c r="Y12" s="25">
        <f>+X12-1</f>
        <v>23</v>
      </c>
      <c r="Z12" s="25">
        <f>+Y12-1</f>
        <v>22</v>
      </c>
      <c r="AA12" s="25">
        <v>24</v>
      </c>
      <c r="AB12" s="25"/>
      <c r="AC12" s="25"/>
      <c r="AD12" s="25"/>
      <c r="AH12" s="2">
        <v>463.4</v>
      </c>
      <c r="AI12" s="2">
        <v>457.7</v>
      </c>
      <c r="AJ12" s="2">
        <f t="shared" si="5"/>
        <v>285.80700000000002</v>
      </c>
      <c r="AK12" s="2">
        <f t="shared" si="6"/>
        <v>227.54</v>
      </c>
      <c r="AL12" s="2">
        <f t="shared" si="1"/>
        <v>180.7</v>
      </c>
      <c r="AM12" s="2">
        <f t="shared" si="2"/>
        <v>120.461</v>
      </c>
      <c r="AN12" s="2">
        <f t="shared" si="3"/>
        <v>94</v>
      </c>
      <c r="AO12" s="2">
        <f t="shared" ref="AO12:AS12" si="9">+AN12*0.9</f>
        <v>84.600000000000009</v>
      </c>
      <c r="AP12" s="2">
        <f t="shared" si="9"/>
        <v>76.140000000000015</v>
      </c>
      <c r="AQ12" s="2">
        <f t="shared" si="9"/>
        <v>68.52600000000001</v>
      </c>
      <c r="AR12" s="2">
        <f t="shared" si="9"/>
        <v>61.673400000000008</v>
      </c>
      <c r="AS12" s="2">
        <f t="shared" si="9"/>
        <v>55.506060000000005</v>
      </c>
    </row>
    <row r="13" spans="1:45" s="2" customFormat="1" x14ac:dyDescent="0.25">
      <c r="B13" s="2" t="s">
        <v>81</v>
      </c>
      <c r="C13" s="25"/>
      <c r="D13" s="25"/>
      <c r="E13" s="25">
        <v>25.4</v>
      </c>
      <c r="F13" s="25">
        <v>35</v>
      </c>
      <c r="G13" s="25">
        <v>27.3</v>
      </c>
      <c r="H13" s="25">
        <v>30.332000000000001</v>
      </c>
      <c r="I13" s="25">
        <v>32.9</v>
      </c>
      <c r="J13" s="25">
        <v>37.4</v>
      </c>
      <c r="K13" s="25">
        <v>36.200000000000003</v>
      </c>
      <c r="L13" s="25">
        <v>37.725000000000001</v>
      </c>
      <c r="M13" s="25">
        <v>37.792999999999999</v>
      </c>
      <c r="N13" s="25">
        <v>42.6</v>
      </c>
      <c r="O13" s="25">
        <v>39.143999999999998</v>
      </c>
      <c r="P13" s="25">
        <v>38.058</v>
      </c>
      <c r="Q13" s="25">
        <v>41</v>
      </c>
      <c r="R13" s="25">
        <v>43.6</v>
      </c>
      <c r="S13" s="25">
        <v>39.046999999999997</v>
      </c>
      <c r="T13" s="25">
        <v>45.308999999999997</v>
      </c>
      <c r="U13" s="25">
        <v>37</v>
      </c>
      <c r="V13" s="25">
        <v>48</v>
      </c>
      <c r="W13" s="25">
        <v>40</v>
      </c>
      <c r="X13" s="25">
        <f>+T13</f>
        <v>45.308999999999997</v>
      </c>
      <c r="Y13" s="25">
        <f>+U13</f>
        <v>37</v>
      </c>
      <c r="Z13" s="25">
        <f>+V13</f>
        <v>48</v>
      </c>
      <c r="AA13" s="25">
        <v>47</v>
      </c>
      <c r="AB13" s="25"/>
      <c r="AC13" s="25"/>
      <c r="AD13" s="25"/>
      <c r="AH13" s="2">
        <v>72</v>
      </c>
      <c r="AI13" s="2">
        <v>110.2</v>
      </c>
      <c r="AJ13" s="2">
        <f t="shared" si="5"/>
        <v>127.93200000000002</v>
      </c>
      <c r="AK13" s="2">
        <f t="shared" si="6"/>
        <v>154.31800000000001</v>
      </c>
      <c r="AL13" s="2">
        <f t="shared" si="1"/>
        <v>161.80199999999999</v>
      </c>
      <c r="AM13" s="2">
        <f t="shared" si="2"/>
        <v>169.35599999999999</v>
      </c>
      <c r="AN13" s="2">
        <f t="shared" si="3"/>
        <v>170.309</v>
      </c>
      <c r="AO13" s="2">
        <f t="shared" ref="AO13:AS13" si="10">+AN13*1.05</f>
        <v>178.82445000000001</v>
      </c>
      <c r="AP13" s="2">
        <f t="shared" si="10"/>
        <v>187.76567250000002</v>
      </c>
      <c r="AQ13" s="2">
        <f t="shared" si="10"/>
        <v>197.15395612500004</v>
      </c>
      <c r="AR13" s="2">
        <f t="shared" si="10"/>
        <v>207.01165393125004</v>
      </c>
      <c r="AS13" s="2">
        <f t="shared" si="10"/>
        <v>217.36223662781254</v>
      </c>
    </row>
    <row r="14" spans="1:45" s="2" customFormat="1" x14ac:dyDescent="0.25">
      <c r="B14" s="2" t="s">
        <v>82</v>
      </c>
      <c r="C14" s="25"/>
      <c r="D14" s="25"/>
      <c r="E14" s="25">
        <v>0</v>
      </c>
      <c r="F14" s="25">
        <v>0</v>
      </c>
      <c r="G14" s="25">
        <v>0</v>
      </c>
      <c r="H14" s="25">
        <v>0</v>
      </c>
      <c r="I14" s="25">
        <v>0.1</v>
      </c>
      <c r="J14" s="25">
        <v>5.8</v>
      </c>
      <c r="K14" s="25">
        <v>19.7</v>
      </c>
      <c r="L14" s="25">
        <v>34.374000000000002</v>
      </c>
      <c r="M14" s="25">
        <v>48.289000000000001</v>
      </c>
      <c r="N14" s="25">
        <v>66.8</v>
      </c>
      <c r="O14" s="25">
        <v>87.835999999999999</v>
      </c>
      <c r="P14" s="25">
        <v>113.337</v>
      </c>
      <c r="Q14" s="25">
        <v>123.1</v>
      </c>
      <c r="R14" s="25">
        <v>145.69999999999999</v>
      </c>
      <c r="S14" s="25">
        <v>152.9</v>
      </c>
      <c r="T14" s="25">
        <v>183.923</v>
      </c>
      <c r="U14" s="25">
        <v>190</v>
      </c>
      <c r="V14" s="25">
        <v>208</v>
      </c>
      <c r="W14" s="25">
        <v>214</v>
      </c>
      <c r="X14" s="25">
        <f>+T14*1.3</f>
        <v>239.09990000000002</v>
      </c>
      <c r="Y14" s="25">
        <f>+U14*1.3</f>
        <v>247</v>
      </c>
      <c r="Z14" s="25">
        <f>+V14*1.3</f>
        <v>270.40000000000003</v>
      </c>
      <c r="AA14" s="25">
        <v>220</v>
      </c>
      <c r="AB14" s="25"/>
      <c r="AC14" s="25"/>
      <c r="AD14" s="25"/>
      <c r="AH14" s="2">
        <v>0</v>
      </c>
      <c r="AI14" s="2">
        <v>0</v>
      </c>
      <c r="AJ14" s="2">
        <f t="shared" si="5"/>
        <v>5.8999999999999995</v>
      </c>
      <c r="AK14" s="2">
        <f t="shared" si="6"/>
        <v>169.16300000000001</v>
      </c>
      <c r="AL14" s="2">
        <f t="shared" si="1"/>
        <v>469.97300000000001</v>
      </c>
      <c r="AM14" s="2">
        <f t="shared" si="2"/>
        <v>734.82299999999998</v>
      </c>
      <c r="AN14" s="2">
        <f t="shared" si="3"/>
        <v>970.49990000000003</v>
      </c>
      <c r="AO14" s="2">
        <f>+AN14*1.03</f>
        <v>999.61489700000004</v>
      </c>
      <c r="AP14" s="2">
        <f>+AO14*1.03</f>
        <v>1029.6033439100001</v>
      </c>
      <c r="AQ14" s="2">
        <f>+AP14*1.03</f>
        <v>1060.4914442273002</v>
      </c>
      <c r="AR14" s="2">
        <f>+AQ14*1.03</f>
        <v>1092.3061875541193</v>
      </c>
      <c r="AS14" s="2">
        <f>+AR14*1.03</f>
        <v>1125.0753731807429</v>
      </c>
    </row>
    <row r="15" spans="1:45" s="2" customFormat="1" x14ac:dyDescent="0.25">
      <c r="B15" s="2" t="s">
        <v>83</v>
      </c>
      <c r="C15" s="25"/>
      <c r="D15" s="25"/>
      <c r="E15" s="25">
        <v>40.9</v>
      </c>
      <c r="F15" s="25">
        <v>1.2</v>
      </c>
      <c r="G15" s="25">
        <v>50</v>
      </c>
      <c r="H15" s="25">
        <v>28.128</v>
      </c>
      <c r="I15" s="25">
        <v>24.4</v>
      </c>
      <c r="J15" s="25">
        <v>20.3</v>
      </c>
      <c r="K15" s="25">
        <v>24.4</v>
      </c>
      <c r="L15" s="25">
        <v>37.326999999999998</v>
      </c>
      <c r="M15" s="25">
        <v>29.045999999999999</v>
      </c>
      <c r="N15" s="25">
        <v>37.6</v>
      </c>
      <c r="O15" s="25">
        <v>34.402999999999999</v>
      </c>
      <c r="P15" s="25">
        <v>40.317999999999998</v>
      </c>
      <c r="Q15" s="25">
        <v>13.8</v>
      </c>
      <c r="R15" s="25">
        <v>42.7</v>
      </c>
      <c r="S15" s="25">
        <v>35.262</v>
      </c>
      <c r="T15" s="25">
        <v>38.558</v>
      </c>
      <c r="U15" s="25">
        <v>71</v>
      </c>
      <c r="V15" s="25">
        <v>39</v>
      </c>
      <c r="W15" s="25">
        <v>49</v>
      </c>
      <c r="X15" s="25">
        <f>+T15</f>
        <v>38.558</v>
      </c>
      <c r="Y15" s="25">
        <f>+U15</f>
        <v>71</v>
      </c>
      <c r="Z15" s="25">
        <f>+V15</f>
        <v>39</v>
      </c>
      <c r="AA15" s="25">
        <v>37</v>
      </c>
      <c r="AB15" s="25"/>
      <c r="AC15" s="25"/>
      <c r="AD15" s="25"/>
      <c r="AH15" s="2">
        <v>97.8</v>
      </c>
      <c r="AI15" s="2">
        <v>130.1</v>
      </c>
      <c r="AJ15" s="2">
        <f t="shared" si="5"/>
        <v>122.82799999999999</v>
      </c>
      <c r="AK15" s="2">
        <f t="shared" si="6"/>
        <v>128.37299999999999</v>
      </c>
      <c r="AL15" s="2">
        <f t="shared" si="1"/>
        <v>131.221</v>
      </c>
      <c r="AM15" s="2">
        <f t="shared" si="2"/>
        <v>183.82</v>
      </c>
      <c r="AN15" s="2">
        <f t="shared" si="3"/>
        <v>197.55799999999999</v>
      </c>
      <c r="AO15" s="2">
        <f t="shared" ref="AO15:AS15" si="11">+AN15*1.03</f>
        <v>203.48473999999999</v>
      </c>
      <c r="AP15" s="2">
        <f t="shared" si="11"/>
        <v>209.58928219999999</v>
      </c>
      <c r="AQ15" s="2">
        <f t="shared" si="11"/>
        <v>215.876960666</v>
      </c>
      <c r="AR15" s="2">
        <f t="shared" si="11"/>
        <v>222.35326948598001</v>
      </c>
      <c r="AS15" s="2">
        <f t="shared" si="11"/>
        <v>229.02386757055942</v>
      </c>
    </row>
    <row r="16" spans="1:45" s="2" customFormat="1" x14ac:dyDescent="0.25">
      <c r="B16" s="2" t="s">
        <v>63</v>
      </c>
      <c r="C16" s="25"/>
      <c r="D16" s="25"/>
      <c r="E16" s="25">
        <f t="shared" ref="E16:L16" si="12">SUM(E8:E15)</f>
        <v>460.69999999999993</v>
      </c>
      <c r="F16" s="25">
        <f t="shared" si="12"/>
        <v>437</v>
      </c>
      <c r="G16" s="25">
        <f t="shared" si="12"/>
        <v>467.8</v>
      </c>
      <c r="H16" s="25">
        <f t="shared" si="12"/>
        <v>486.67</v>
      </c>
      <c r="I16" s="25">
        <f t="shared" si="12"/>
        <v>393.9</v>
      </c>
      <c r="J16" s="25">
        <f t="shared" si="12"/>
        <v>435.2</v>
      </c>
      <c r="K16" s="25">
        <f t="shared" si="12"/>
        <v>505.49999999999994</v>
      </c>
      <c r="L16" s="25">
        <f t="shared" si="12"/>
        <v>517.66</v>
      </c>
      <c r="M16" s="25">
        <f t="shared" ref="M16" si="13">SUM(M8:M15)</f>
        <v>493.34800000000001</v>
      </c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H16" s="2">
        <f>SUM(AH8:AH15)</f>
        <v>1638.6999999999998</v>
      </c>
      <c r="AI16" s="2">
        <f>SUM(AI8:AI15)</f>
        <v>1804.7</v>
      </c>
      <c r="AJ16" s="2">
        <f>SUM(AJ8:AJ15)</f>
        <v>1783.5700000000002</v>
      </c>
      <c r="AK16" s="2">
        <f>SUM(AK8:AK15)</f>
        <v>2042.008</v>
      </c>
      <c r="AL16" s="2">
        <f t="shared" ref="AL16:AR16" si="14">SUM(AL8:AL15)</f>
        <v>2372.5240000000003</v>
      </c>
      <c r="AM16" s="2">
        <f t="shared" si="14"/>
        <v>2808.9549999999999</v>
      </c>
      <c r="AN16" s="2">
        <f t="shared" si="14"/>
        <v>3133.0028000000002</v>
      </c>
      <c r="AO16" s="2">
        <f t="shared" si="14"/>
        <v>3252.1876239999997</v>
      </c>
      <c r="AP16" s="2">
        <f t="shared" si="14"/>
        <v>3374.7906881400004</v>
      </c>
      <c r="AQ16" s="2">
        <f t="shared" si="14"/>
        <v>3505.5008727320005</v>
      </c>
      <c r="AR16" s="2">
        <f t="shared" si="14"/>
        <v>3644.9441710862229</v>
      </c>
      <c r="AS16" s="2">
        <f>SUM(AS8:AS15)</f>
        <v>3788.2510842278398</v>
      </c>
    </row>
    <row r="17" spans="2:126" s="2" customFormat="1" x14ac:dyDescent="0.25">
      <c r="B17" s="2" t="s">
        <v>62</v>
      </c>
      <c r="C17" s="25"/>
      <c r="D17" s="25"/>
      <c r="E17" s="25">
        <v>16.042999999999999</v>
      </c>
      <c r="F17" s="25">
        <v>15.071999999999999</v>
      </c>
      <c r="G17" s="25">
        <v>18.260999999999999</v>
      </c>
      <c r="H17" s="25">
        <v>15.023</v>
      </c>
      <c r="I17" s="25">
        <v>14.901999999999999</v>
      </c>
      <c r="J17" s="25">
        <v>14.590999999999999</v>
      </c>
      <c r="K17" s="25">
        <v>13.834</v>
      </c>
      <c r="L17" s="25">
        <v>16.138000000000002</v>
      </c>
      <c r="M17" s="25">
        <v>11.996</v>
      </c>
      <c r="N17" s="25">
        <v>12.045999999999999</v>
      </c>
      <c r="O17" s="25">
        <v>9.9890000000000008</v>
      </c>
      <c r="P17" s="25">
        <v>10.577</v>
      </c>
      <c r="Q17" s="25">
        <v>13.063000000000001</v>
      </c>
      <c r="R17" s="25">
        <v>13.058999999999999</v>
      </c>
      <c r="S17" s="25">
        <v>11.018000000000001</v>
      </c>
      <c r="T17" s="25">
        <v>9.9</v>
      </c>
      <c r="U17" s="25">
        <v>11.872999999999999</v>
      </c>
      <c r="V17" s="25">
        <v>11.679</v>
      </c>
      <c r="W17" s="25">
        <v>10.500999999999999</v>
      </c>
      <c r="X17" s="25">
        <f>+T17</f>
        <v>9.9</v>
      </c>
      <c r="Y17" s="25">
        <f>+U17</f>
        <v>11.872999999999999</v>
      </c>
      <c r="Z17" s="25">
        <f>+V17</f>
        <v>11.679</v>
      </c>
      <c r="AA17" s="25"/>
      <c r="AB17" s="25"/>
      <c r="AC17" s="25"/>
      <c r="AD17" s="25"/>
      <c r="AH17" s="2">
        <v>43.005000000000003</v>
      </c>
      <c r="AI17" s="2">
        <v>54.594000000000001</v>
      </c>
      <c r="AJ17" s="2">
        <f t="shared" si="5"/>
        <v>62.777000000000001</v>
      </c>
      <c r="AK17" s="2">
        <f t="shared" si="6"/>
        <v>54.014000000000003</v>
      </c>
      <c r="AL17" s="2">
        <f>SUM(O17:R17)</f>
        <v>46.688000000000002</v>
      </c>
      <c r="AM17" s="2">
        <f>SUM(S17:V17)</f>
        <v>44.47</v>
      </c>
      <c r="AN17" s="2">
        <f>SUM(W17:Z17)</f>
        <v>43.953000000000003</v>
      </c>
      <c r="AO17" s="2">
        <f t="shared" ref="AO17:AS17" si="15">+AN17</f>
        <v>43.953000000000003</v>
      </c>
      <c r="AP17" s="2">
        <f t="shared" si="15"/>
        <v>43.953000000000003</v>
      </c>
      <c r="AQ17" s="2">
        <f t="shared" si="15"/>
        <v>43.953000000000003</v>
      </c>
      <c r="AR17" s="2">
        <f t="shared" si="15"/>
        <v>43.953000000000003</v>
      </c>
      <c r="AS17" s="2">
        <f t="shared" si="15"/>
        <v>43.953000000000003</v>
      </c>
    </row>
    <row r="18" spans="2:126" s="4" customFormat="1" ht="13" x14ac:dyDescent="0.3">
      <c r="B18" s="4" t="s">
        <v>50</v>
      </c>
      <c r="C18" s="26"/>
      <c r="D18" s="26"/>
      <c r="E18" s="26">
        <f t="shared" ref="E18:L18" si="16">+E16+E17</f>
        <v>476.74299999999994</v>
      </c>
      <c r="F18" s="26">
        <f t="shared" si="16"/>
        <v>452.072</v>
      </c>
      <c r="G18" s="26">
        <f t="shared" si="16"/>
        <v>486.06100000000004</v>
      </c>
      <c r="H18" s="26">
        <f t="shared" si="16"/>
        <v>501.69300000000004</v>
      </c>
      <c r="I18" s="26">
        <f t="shared" si="16"/>
        <v>408.80199999999996</v>
      </c>
      <c r="J18" s="26">
        <f t="shared" si="16"/>
        <v>449.791</v>
      </c>
      <c r="K18" s="26">
        <f t="shared" si="16"/>
        <v>519.33399999999995</v>
      </c>
      <c r="L18" s="26">
        <f t="shared" si="16"/>
        <v>533.798</v>
      </c>
      <c r="M18" s="26">
        <f t="shared" ref="M18" si="17">+M16+M17</f>
        <v>505.34399999999999</v>
      </c>
      <c r="N18" s="26">
        <f t="shared" ref="N18:Z18" si="18">SUM(N8:N17)</f>
        <v>537.54600000000005</v>
      </c>
      <c r="O18" s="26">
        <f t="shared" si="18"/>
        <v>596.41500000000008</v>
      </c>
      <c r="P18" s="26">
        <f t="shared" si="18"/>
        <v>595.27499999999998</v>
      </c>
      <c r="Q18" s="26">
        <f t="shared" si="18"/>
        <v>581.36299999999994</v>
      </c>
      <c r="R18" s="26">
        <f t="shared" si="18"/>
        <v>646.15899999999999</v>
      </c>
      <c r="S18" s="26">
        <f t="shared" si="18"/>
        <v>648.84400000000005</v>
      </c>
      <c r="T18" s="26">
        <f t="shared" si="18"/>
        <v>712.02899999999988</v>
      </c>
      <c r="U18" s="26">
        <f t="shared" si="18"/>
        <v>745.87300000000005</v>
      </c>
      <c r="V18" s="26">
        <f t="shared" si="18"/>
        <v>746.67899999999997</v>
      </c>
      <c r="W18" s="26">
        <f t="shared" si="18"/>
        <v>744.50099999999998</v>
      </c>
      <c r="X18" s="26">
        <f t="shared" si="18"/>
        <v>784.95280000000002</v>
      </c>
      <c r="Y18" s="26">
        <f t="shared" si="18"/>
        <v>821.87300000000005</v>
      </c>
      <c r="Z18" s="26">
        <f t="shared" si="18"/>
        <v>825.62900000000002</v>
      </c>
      <c r="AA18" s="26"/>
      <c r="AB18" s="26"/>
      <c r="AC18" s="26"/>
      <c r="AD18" s="26"/>
      <c r="AH18" s="4">
        <f>+AH16+AH17</f>
        <v>1681.7049999999999</v>
      </c>
      <c r="AI18" s="4">
        <f>+AI16+AI17</f>
        <v>1859.2940000000001</v>
      </c>
      <c r="AJ18" s="4">
        <f>+AJ16+AJ17</f>
        <v>1846.3470000000002</v>
      </c>
      <c r="AK18" s="4">
        <f>+AK16+AK17</f>
        <v>2096.0219999999999</v>
      </c>
      <c r="AL18" s="4">
        <f t="shared" ref="AL18:AS18" si="19">+AL16+AL17</f>
        <v>2419.2120000000004</v>
      </c>
      <c r="AM18" s="4">
        <f t="shared" si="19"/>
        <v>2853.4249999999997</v>
      </c>
      <c r="AN18" s="4">
        <f t="shared" si="19"/>
        <v>3176.9558000000002</v>
      </c>
      <c r="AO18" s="4">
        <f t="shared" si="19"/>
        <v>3296.1406239999997</v>
      </c>
      <c r="AP18" s="4">
        <f t="shared" si="19"/>
        <v>3418.7436881400004</v>
      </c>
      <c r="AQ18" s="4">
        <f t="shared" si="19"/>
        <v>3549.4538727320005</v>
      </c>
      <c r="AR18" s="4">
        <f t="shared" si="19"/>
        <v>3688.8971710862229</v>
      </c>
      <c r="AS18" s="4">
        <f t="shared" si="19"/>
        <v>3832.2040842278398</v>
      </c>
    </row>
    <row r="19" spans="2:126" s="2" customFormat="1" x14ac:dyDescent="0.25">
      <c r="B19" s="2" t="s">
        <v>64</v>
      </c>
      <c r="C19" s="25"/>
      <c r="D19" s="25"/>
      <c r="E19" s="25">
        <v>188.79300000000001</v>
      </c>
      <c r="F19" s="25">
        <v>126.13800000000001</v>
      </c>
      <c r="G19" s="25">
        <v>120.166</v>
      </c>
      <c r="H19" s="25">
        <v>127.062</v>
      </c>
      <c r="I19" s="25">
        <v>103.53700000000001</v>
      </c>
      <c r="J19" s="25">
        <v>119.75</v>
      </c>
      <c r="K19" s="25">
        <v>116.965</v>
      </c>
      <c r="L19" s="25">
        <v>123.126</v>
      </c>
      <c r="M19" s="25">
        <v>116.288</v>
      </c>
      <c r="N19" s="25">
        <v>127.29</v>
      </c>
      <c r="O19" s="25">
        <v>135.47200000000001</v>
      </c>
      <c r="P19" s="25">
        <v>65.566000000000003</v>
      </c>
      <c r="Q19" s="25">
        <v>124.745</v>
      </c>
      <c r="R19" s="25">
        <v>135.47800000000001</v>
      </c>
      <c r="S19" s="25">
        <v>125.18</v>
      </c>
      <c r="T19" s="25">
        <v>130.459</v>
      </c>
      <c r="U19" s="25">
        <v>188.45699999999999</v>
      </c>
      <c r="V19" s="25">
        <v>136.13900000000001</v>
      </c>
      <c r="W19" s="25">
        <v>151.55799999999999</v>
      </c>
      <c r="X19" s="25"/>
      <c r="Y19" s="25"/>
      <c r="Z19" s="25"/>
      <c r="AA19" s="25"/>
      <c r="AB19" s="25"/>
      <c r="AC19" s="25"/>
      <c r="AD19" s="25"/>
      <c r="AH19" s="2">
        <v>359.46600000000001</v>
      </c>
      <c r="AI19" s="2">
        <v>524.27200000000005</v>
      </c>
      <c r="AJ19" s="2">
        <f t="shared" si="5"/>
        <v>470.51499999999999</v>
      </c>
      <c r="AK19" s="2">
        <f t="shared" si="6"/>
        <v>483.66900000000004</v>
      </c>
      <c r="AL19" s="2">
        <f>+AL18*0.21</f>
        <v>508.0345200000001</v>
      </c>
      <c r="AM19" s="2">
        <f t="shared" ref="AM19:AS19" si="20">+AM18*0.21</f>
        <v>599.21924999999987</v>
      </c>
      <c r="AN19" s="2">
        <f t="shared" si="20"/>
        <v>667.16071799999997</v>
      </c>
      <c r="AO19" s="2">
        <f t="shared" si="20"/>
        <v>692.18953103999991</v>
      </c>
      <c r="AP19" s="2">
        <f t="shared" si="20"/>
        <v>717.93617450940008</v>
      </c>
      <c r="AQ19" s="2">
        <f t="shared" si="20"/>
        <v>745.38531327372004</v>
      </c>
      <c r="AR19" s="2">
        <f t="shared" si="20"/>
        <v>774.66840592810684</v>
      </c>
      <c r="AS19" s="2">
        <f t="shared" si="20"/>
        <v>804.76285768784635</v>
      </c>
    </row>
    <row r="20" spans="2:126" s="2" customFormat="1" x14ac:dyDescent="0.25">
      <c r="B20" s="2" t="s">
        <v>65</v>
      </c>
      <c r="C20" s="25"/>
      <c r="D20" s="25"/>
      <c r="E20" s="25">
        <f t="shared" ref="E20:L20" si="21">+E18-E19</f>
        <v>287.94999999999993</v>
      </c>
      <c r="F20" s="25">
        <f t="shared" si="21"/>
        <v>325.93399999999997</v>
      </c>
      <c r="G20" s="25">
        <f t="shared" si="21"/>
        <v>365.89500000000004</v>
      </c>
      <c r="H20" s="25">
        <f t="shared" si="21"/>
        <v>374.63100000000003</v>
      </c>
      <c r="I20" s="25">
        <f t="shared" si="21"/>
        <v>305.26499999999999</v>
      </c>
      <c r="J20" s="25">
        <f t="shared" si="21"/>
        <v>330.041</v>
      </c>
      <c r="K20" s="25">
        <f t="shared" si="21"/>
        <v>402.36899999999991</v>
      </c>
      <c r="L20" s="25">
        <f t="shared" si="21"/>
        <v>410.67200000000003</v>
      </c>
      <c r="M20" s="25">
        <f t="shared" ref="M20:W20" si="22">+M18-M19</f>
        <v>389.05599999999998</v>
      </c>
      <c r="N20" s="25">
        <f t="shared" si="22"/>
        <v>410.25600000000003</v>
      </c>
      <c r="O20" s="25">
        <f t="shared" si="22"/>
        <v>460.9430000000001</v>
      </c>
      <c r="P20" s="25">
        <f t="shared" si="22"/>
        <v>529.70899999999995</v>
      </c>
      <c r="Q20" s="25">
        <f t="shared" si="22"/>
        <v>456.61799999999994</v>
      </c>
      <c r="R20" s="25">
        <f t="shared" si="22"/>
        <v>510.68099999999998</v>
      </c>
      <c r="S20" s="25">
        <f t="shared" si="22"/>
        <v>523.66399999999999</v>
      </c>
      <c r="T20" s="25">
        <f t="shared" si="22"/>
        <v>581.56999999999994</v>
      </c>
      <c r="U20" s="25">
        <f t="shared" si="22"/>
        <v>557.41600000000005</v>
      </c>
      <c r="V20" s="25">
        <f t="shared" si="22"/>
        <v>610.54</v>
      </c>
      <c r="W20" s="25">
        <f t="shared" si="22"/>
        <v>592.94299999999998</v>
      </c>
      <c r="X20" s="25"/>
      <c r="Y20" s="25"/>
      <c r="Z20" s="25"/>
      <c r="AA20" s="25"/>
      <c r="AB20" s="25"/>
      <c r="AC20" s="25"/>
      <c r="AD20" s="25"/>
      <c r="AH20" s="2">
        <f>+AH18-AH19</f>
        <v>1322.239</v>
      </c>
      <c r="AI20" s="2">
        <f>+AI18-AI19</f>
        <v>1335.0219999999999</v>
      </c>
      <c r="AJ20" s="2">
        <f>+AJ18-AJ19</f>
        <v>1375.8320000000003</v>
      </c>
      <c r="AK20" s="2">
        <f>+AK18-AK19</f>
        <v>1612.3529999999998</v>
      </c>
      <c r="AL20" s="2">
        <f>+AL18-AL19</f>
        <v>1911.1774800000003</v>
      </c>
      <c r="AM20" s="2">
        <f t="shared" ref="AM20:AS20" si="23">+AM18-AM19</f>
        <v>2254.2057500000001</v>
      </c>
      <c r="AN20" s="2">
        <f t="shared" si="23"/>
        <v>2509.7950820000001</v>
      </c>
      <c r="AO20" s="2">
        <f t="shared" si="23"/>
        <v>2603.9510929599996</v>
      </c>
      <c r="AP20" s="2">
        <f t="shared" si="23"/>
        <v>2700.8075136306002</v>
      </c>
      <c r="AQ20" s="2">
        <f t="shared" si="23"/>
        <v>2804.0685594582806</v>
      </c>
      <c r="AR20" s="2">
        <f t="shared" si="23"/>
        <v>2914.2287651581159</v>
      </c>
      <c r="AS20" s="2">
        <f t="shared" si="23"/>
        <v>3027.4412265399933</v>
      </c>
    </row>
    <row r="21" spans="2:126" s="2" customFormat="1" x14ac:dyDescent="0.25">
      <c r="B21" s="2" t="s">
        <v>68</v>
      </c>
      <c r="C21" s="25"/>
      <c r="D21" s="25"/>
      <c r="E21" s="25">
        <v>147.053</v>
      </c>
      <c r="F21" s="25">
        <v>156.667</v>
      </c>
      <c r="G21" s="25">
        <v>148.72499999999999</v>
      </c>
      <c r="H21" s="25">
        <v>161.107</v>
      </c>
      <c r="I21" s="25">
        <v>157.869</v>
      </c>
      <c r="J21" s="25">
        <v>161.09200000000001</v>
      </c>
      <c r="K21" s="25">
        <v>160.83600000000001</v>
      </c>
      <c r="L21" s="25">
        <v>158.19</v>
      </c>
      <c r="M21" s="25">
        <v>157.82900000000001</v>
      </c>
      <c r="N21" s="25">
        <v>172.751</v>
      </c>
      <c r="O21" s="25">
        <v>171.846</v>
      </c>
      <c r="P21" s="25">
        <v>177.363</v>
      </c>
      <c r="Q21" s="25">
        <v>191.31399999999999</v>
      </c>
      <c r="R21" s="25">
        <v>206.25</v>
      </c>
      <c r="S21" s="25">
        <v>204.98699999999999</v>
      </c>
      <c r="T21" s="25">
        <v>183.78700000000001</v>
      </c>
      <c r="U21" s="25">
        <v>253.48</v>
      </c>
      <c r="V21" s="25">
        <v>173.50899999999999</v>
      </c>
      <c r="W21" s="25">
        <v>158.73099999999999</v>
      </c>
      <c r="X21" s="25"/>
      <c r="Y21" s="25"/>
      <c r="Z21" s="25"/>
      <c r="AA21" s="25"/>
      <c r="AB21" s="25"/>
      <c r="AC21" s="25"/>
      <c r="AD21" s="25"/>
      <c r="AH21" s="2">
        <v>715.00699999999995</v>
      </c>
      <c r="AI21" s="2">
        <v>628.11599999999999</v>
      </c>
      <c r="AJ21" s="2">
        <f t="shared" si="5"/>
        <v>628.79300000000001</v>
      </c>
      <c r="AK21" s="2">
        <f t="shared" si="6"/>
        <v>649.60599999999999</v>
      </c>
    </row>
    <row r="22" spans="2:126" s="2" customFormat="1" x14ac:dyDescent="0.25">
      <c r="B22" s="2" t="s">
        <v>69</v>
      </c>
      <c r="C22" s="25"/>
      <c r="D22" s="25"/>
      <c r="E22" s="25">
        <v>179.45</v>
      </c>
      <c r="F22" s="25">
        <v>195.512</v>
      </c>
      <c r="G22" s="25">
        <v>174.31800000000001</v>
      </c>
      <c r="H22" s="25">
        <v>184.161</v>
      </c>
      <c r="I22" s="25">
        <v>183.333</v>
      </c>
      <c r="J22" s="25">
        <v>217.56299999999999</v>
      </c>
      <c r="K22" s="25">
        <v>194.619</v>
      </c>
      <c r="L22" s="25">
        <v>196.83500000000001</v>
      </c>
      <c r="M22" s="25">
        <v>216.816</v>
      </c>
      <c r="N22" s="25">
        <v>245.739</v>
      </c>
      <c r="O22" s="25">
        <v>211.023</v>
      </c>
      <c r="P22" s="25">
        <v>206.10300000000001</v>
      </c>
      <c r="Q22" s="25">
        <v>223.928</v>
      </c>
      <c r="R22" s="25">
        <v>275.024</v>
      </c>
      <c r="S22" s="25">
        <v>225.90600000000001</v>
      </c>
      <c r="T22" s="25">
        <v>263.03199999999998</v>
      </c>
      <c r="U22" s="25">
        <v>184.90100000000001</v>
      </c>
      <c r="V22" s="25">
        <v>266.60700000000003</v>
      </c>
      <c r="W22" s="25">
        <v>206.11600000000001</v>
      </c>
      <c r="X22" s="25"/>
      <c r="Y22" s="25"/>
      <c r="Z22" s="25"/>
      <c r="AA22" s="25"/>
      <c r="AB22" s="25"/>
      <c r="AC22" s="25"/>
      <c r="AD22" s="25"/>
      <c r="AH22" s="2">
        <v>680.92399999999998</v>
      </c>
      <c r="AI22" s="2">
        <v>737.66899999999998</v>
      </c>
      <c r="AJ22" s="2">
        <f t="shared" si="5"/>
        <v>759.375</v>
      </c>
      <c r="AK22" s="2">
        <f t="shared" si="6"/>
        <v>854.00900000000001</v>
      </c>
      <c r="AL22" s="2">
        <f>+AK22*1.04</f>
        <v>888.1693600000001</v>
      </c>
      <c r="AM22" s="2">
        <f t="shared" ref="AM22:AS22" si="24">+AL22*1.04</f>
        <v>923.69613440000012</v>
      </c>
      <c r="AN22" s="2">
        <f t="shared" si="24"/>
        <v>960.64397977600015</v>
      </c>
      <c r="AO22" s="2">
        <f t="shared" si="24"/>
        <v>999.06973896704017</v>
      </c>
      <c r="AP22" s="2">
        <f t="shared" si="24"/>
        <v>1039.0325285257218</v>
      </c>
      <c r="AQ22" s="2">
        <f t="shared" si="24"/>
        <v>1080.5938296667507</v>
      </c>
      <c r="AR22" s="2">
        <f t="shared" si="24"/>
        <v>1123.8175828534208</v>
      </c>
      <c r="AS22" s="2">
        <f t="shared" si="24"/>
        <v>1168.7702861675577</v>
      </c>
    </row>
    <row r="23" spans="2:126" s="2" customFormat="1" x14ac:dyDescent="0.25">
      <c r="B23" s="2" t="s">
        <v>67</v>
      </c>
      <c r="C23" s="25"/>
      <c r="D23" s="25"/>
      <c r="E23" s="25">
        <f t="shared" ref="E23:L23" si="25">+E21+E22</f>
        <v>326.50299999999999</v>
      </c>
      <c r="F23" s="25">
        <f t="shared" si="25"/>
        <v>352.17899999999997</v>
      </c>
      <c r="G23" s="25">
        <f t="shared" si="25"/>
        <v>323.04300000000001</v>
      </c>
      <c r="H23" s="25">
        <f t="shared" si="25"/>
        <v>345.26800000000003</v>
      </c>
      <c r="I23" s="25">
        <f t="shared" si="25"/>
        <v>341.202</v>
      </c>
      <c r="J23" s="25">
        <f t="shared" si="25"/>
        <v>378.65499999999997</v>
      </c>
      <c r="K23" s="25">
        <f t="shared" si="25"/>
        <v>355.45500000000004</v>
      </c>
      <c r="L23" s="25">
        <f t="shared" si="25"/>
        <v>355.02499999999998</v>
      </c>
      <c r="M23" s="25">
        <f t="shared" ref="M23:N23" si="26">+M21+M22</f>
        <v>374.64499999999998</v>
      </c>
      <c r="N23" s="25">
        <f t="shared" si="26"/>
        <v>418.49</v>
      </c>
      <c r="O23" s="25">
        <f t="shared" ref="O23:W23" si="27">+O21+O22</f>
        <v>382.86900000000003</v>
      </c>
      <c r="P23" s="25">
        <f t="shared" si="27"/>
        <v>383.46600000000001</v>
      </c>
      <c r="Q23" s="25">
        <f t="shared" si="27"/>
        <v>415.24199999999996</v>
      </c>
      <c r="R23" s="25">
        <f t="shared" si="27"/>
        <v>481.274</v>
      </c>
      <c r="S23" s="25">
        <f t="shared" si="27"/>
        <v>430.89300000000003</v>
      </c>
      <c r="T23" s="25">
        <f t="shared" si="27"/>
        <v>446.81899999999996</v>
      </c>
      <c r="U23" s="25">
        <f t="shared" si="27"/>
        <v>438.38099999999997</v>
      </c>
      <c r="V23" s="25">
        <f t="shared" si="27"/>
        <v>440.11599999999999</v>
      </c>
      <c r="W23" s="25">
        <f t="shared" si="27"/>
        <v>364.84699999999998</v>
      </c>
      <c r="X23" s="25"/>
      <c r="Y23" s="25"/>
      <c r="Z23" s="25"/>
      <c r="AA23" s="25"/>
      <c r="AB23" s="25"/>
      <c r="AC23" s="25"/>
      <c r="AD23" s="25"/>
      <c r="AH23" s="2">
        <f>+AH22+AH21</f>
        <v>1395.931</v>
      </c>
      <c r="AI23" s="2">
        <f>+AI22+AI21</f>
        <v>1365.7849999999999</v>
      </c>
      <c r="AJ23" s="2">
        <f>+AJ22+AJ21</f>
        <v>1388.1680000000001</v>
      </c>
      <c r="AK23" s="2">
        <f>+AK22+AK21</f>
        <v>1503.615</v>
      </c>
      <c r="AL23" s="2">
        <f t="shared" ref="AL23:AS23" si="28">+AL22+AL21</f>
        <v>888.1693600000001</v>
      </c>
      <c r="AM23" s="2">
        <f t="shared" si="28"/>
        <v>923.69613440000012</v>
      </c>
      <c r="AN23" s="2">
        <f t="shared" si="28"/>
        <v>960.64397977600015</v>
      </c>
      <c r="AO23" s="2">
        <f t="shared" si="28"/>
        <v>999.06973896704017</v>
      </c>
      <c r="AP23" s="2">
        <f t="shared" si="28"/>
        <v>1039.0325285257218</v>
      </c>
      <c r="AQ23" s="2">
        <f t="shared" si="28"/>
        <v>1080.5938296667507</v>
      </c>
      <c r="AR23" s="2">
        <f t="shared" si="28"/>
        <v>1123.8175828534208</v>
      </c>
      <c r="AS23" s="2">
        <f t="shared" si="28"/>
        <v>1168.7702861675577</v>
      </c>
    </row>
    <row r="24" spans="2:126" s="2" customFormat="1" x14ac:dyDescent="0.25">
      <c r="B24" s="2" t="s">
        <v>66</v>
      </c>
      <c r="C24" s="25"/>
      <c r="D24" s="25"/>
      <c r="E24" s="25">
        <f t="shared" ref="E24:L24" si="29">+E20-E23</f>
        <v>-38.553000000000054</v>
      </c>
      <c r="F24" s="25">
        <f t="shared" si="29"/>
        <v>-26.245000000000005</v>
      </c>
      <c r="G24" s="25">
        <f t="shared" si="29"/>
        <v>42.852000000000032</v>
      </c>
      <c r="H24" s="25">
        <f t="shared" si="29"/>
        <v>29.363</v>
      </c>
      <c r="I24" s="25">
        <f t="shared" si="29"/>
        <v>-35.937000000000012</v>
      </c>
      <c r="J24" s="25">
        <f t="shared" si="29"/>
        <v>-48.613999999999976</v>
      </c>
      <c r="K24" s="25">
        <f t="shared" si="29"/>
        <v>46.913999999999874</v>
      </c>
      <c r="L24" s="25">
        <f t="shared" si="29"/>
        <v>55.647000000000048</v>
      </c>
      <c r="M24" s="25">
        <f t="shared" ref="M24:N24" si="30">+M20-M23</f>
        <v>14.411000000000001</v>
      </c>
      <c r="N24" s="25">
        <f t="shared" si="30"/>
        <v>-8.2339999999999804</v>
      </c>
      <c r="O24" s="25">
        <f t="shared" ref="O24:W24" si="31">+O20-O23</f>
        <v>78.074000000000069</v>
      </c>
      <c r="P24" s="25">
        <f t="shared" si="31"/>
        <v>146.24299999999994</v>
      </c>
      <c r="Q24" s="25">
        <f t="shared" si="31"/>
        <v>41.375999999999976</v>
      </c>
      <c r="R24" s="25">
        <f t="shared" si="31"/>
        <v>29.406999999999982</v>
      </c>
      <c r="S24" s="25">
        <f t="shared" si="31"/>
        <v>92.770999999999958</v>
      </c>
      <c r="T24" s="25">
        <f t="shared" si="31"/>
        <v>134.75099999999998</v>
      </c>
      <c r="U24" s="25">
        <f t="shared" si="31"/>
        <v>119.03500000000008</v>
      </c>
      <c r="V24" s="25">
        <f t="shared" si="31"/>
        <v>170.42399999999998</v>
      </c>
      <c r="W24" s="25">
        <f t="shared" si="31"/>
        <v>228.096</v>
      </c>
      <c r="X24" s="25"/>
      <c r="Y24" s="25"/>
      <c r="Z24" s="25"/>
      <c r="AA24" s="25"/>
      <c r="AB24" s="25"/>
      <c r="AC24" s="25"/>
      <c r="AD24" s="25"/>
      <c r="AH24" s="2">
        <f>+AH20-AH23</f>
        <v>-73.692000000000007</v>
      </c>
      <c r="AI24" s="2">
        <f>+AI20-AI23</f>
        <v>-30.76299999999992</v>
      </c>
      <c r="AJ24" s="2">
        <f>+AJ20-AJ23</f>
        <v>-12.335999999999785</v>
      </c>
      <c r="AK24" s="2">
        <f>+AK20-AK23</f>
        <v>108.73799999999983</v>
      </c>
      <c r="AL24" s="2">
        <f t="shared" ref="AL24:AS24" si="32">+AL20-AL23</f>
        <v>1023.0081200000002</v>
      </c>
      <c r="AM24" s="2">
        <f t="shared" si="32"/>
        <v>1330.5096156</v>
      </c>
      <c r="AN24" s="2">
        <f t="shared" si="32"/>
        <v>1549.1511022239999</v>
      </c>
      <c r="AO24" s="2">
        <f t="shared" si="32"/>
        <v>1604.8813539929595</v>
      </c>
      <c r="AP24" s="2">
        <f t="shared" si="32"/>
        <v>1661.7749851048784</v>
      </c>
      <c r="AQ24" s="2">
        <f t="shared" si="32"/>
        <v>1723.4747297915299</v>
      </c>
      <c r="AR24" s="2">
        <f t="shared" si="32"/>
        <v>1790.4111823046951</v>
      </c>
      <c r="AS24" s="2">
        <f t="shared" si="32"/>
        <v>1858.6709403724356</v>
      </c>
    </row>
    <row r="25" spans="2:126" s="2" customFormat="1" x14ac:dyDescent="0.25">
      <c r="B25" s="2" t="s">
        <v>72</v>
      </c>
      <c r="C25" s="25"/>
      <c r="D25" s="25"/>
      <c r="E25" s="25">
        <f>-0.921+4.004-9.597+1.239</f>
        <v>-5.2750000000000004</v>
      </c>
      <c r="F25" s="25">
        <f>3.071-4.749+6.333</f>
        <v>4.6550000000000011</v>
      </c>
      <c r="G25" s="25">
        <f>2.439-3.804-0.493</f>
        <v>-1.8579999999999997</v>
      </c>
      <c r="H25" s="25">
        <f>4.471-3.817+1.83</f>
        <v>2.484</v>
      </c>
      <c r="I25" s="25">
        <f>0.177+1.827-3.87+8.925</f>
        <v>7.0590000000000011</v>
      </c>
      <c r="J25" s="25">
        <f>1.745-3.846+1.407</f>
        <v>-0.69399999999999995</v>
      </c>
      <c r="K25" s="25">
        <f>1.82-3.806-1.154</f>
        <v>-3.1399999999999997</v>
      </c>
      <c r="L25" s="25">
        <f>2.505-3.859-2.947</f>
        <v>-4.3010000000000002</v>
      </c>
      <c r="M25" s="25">
        <f>4.999-4.679+0.193</f>
        <v>0.51299999999999946</v>
      </c>
      <c r="N25" s="25">
        <f>8.71-3.626+1.858</f>
        <v>6.9420000000000019</v>
      </c>
      <c r="O25" s="25">
        <f>11.943-3.703-13.887</f>
        <v>-5.6470000000000002</v>
      </c>
      <c r="P25" s="25">
        <f>12.612-3.755-3.613</f>
        <v>5.2439999999999998</v>
      </c>
      <c r="Q25" s="25">
        <f>15.74-3.779+4.047</f>
        <v>16.007999999999999</v>
      </c>
      <c r="R25" s="25">
        <f>18.044-6.098-6.838</f>
        <v>5.1080000000000014</v>
      </c>
      <c r="S25" s="25">
        <f>19.365-3.547+1.267</f>
        <v>17.084999999999997</v>
      </c>
      <c r="T25" s="25">
        <f>19.785-3.574-4.527</f>
        <v>11.683999999999997</v>
      </c>
      <c r="U25" s="25">
        <f>18.053-2.968</f>
        <v>15.085000000000001</v>
      </c>
      <c r="V25" s="25">
        <f>17.68-2.577</f>
        <v>15.103</v>
      </c>
      <c r="W25" s="25">
        <f>19.013-2.863</f>
        <v>16.150000000000002</v>
      </c>
      <c r="X25" s="25"/>
      <c r="Y25" s="25"/>
      <c r="Z25" s="25"/>
      <c r="AA25" s="25"/>
      <c r="AB25" s="25"/>
      <c r="AC25" s="25"/>
      <c r="AD25" s="25"/>
      <c r="AH25" s="2">
        <f>-0.587+22.748-23.46+6.945</f>
        <v>5.6460000000000008</v>
      </c>
      <c r="AI25" s="2">
        <f>16.61-29.309+7.142</f>
        <v>-5.5570000000000013</v>
      </c>
      <c r="AJ25" s="2">
        <f t="shared" ref="AJ25" si="33">SUM(G25:J25)</f>
        <v>6.9910000000000014</v>
      </c>
      <c r="AK25" s="2">
        <f t="shared" ref="AK25:AK27" si="34">SUM(K25:N25)</f>
        <v>1.4000000000001123E-2</v>
      </c>
      <c r="AL25" s="2">
        <f>+AK38*$AV$36</f>
        <v>0</v>
      </c>
      <c r="AM25" s="2">
        <f t="shared" ref="AM25:AS25" si="35">+AL38*$AV$36</f>
        <v>20.460162400000005</v>
      </c>
      <c r="AN25" s="2">
        <f t="shared" si="35"/>
        <v>47.479557960000001</v>
      </c>
      <c r="AO25" s="2">
        <f t="shared" si="35"/>
        <v>76.218909843311991</v>
      </c>
      <c r="AP25" s="2">
        <f t="shared" si="35"/>
        <v>103.11651406469235</v>
      </c>
      <c r="AQ25" s="2">
        <f t="shared" si="35"/>
        <v>131.35477805140548</v>
      </c>
      <c r="AR25" s="2">
        <f t="shared" si="35"/>
        <v>161.03205017689245</v>
      </c>
      <c r="AS25" s="2">
        <f t="shared" si="35"/>
        <v>192.25514189659785</v>
      </c>
    </row>
    <row r="26" spans="2:126" s="2" customFormat="1" x14ac:dyDescent="0.25">
      <c r="B26" s="2" t="s">
        <v>73</v>
      </c>
      <c r="C26" s="25"/>
      <c r="D26" s="25"/>
      <c r="E26" s="25">
        <f t="shared" ref="E26:W26" si="36">+E24+E25</f>
        <v>-43.828000000000053</v>
      </c>
      <c r="F26" s="25">
        <f t="shared" si="36"/>
        <v>-21.590000000000003</v>
      </c>
      <c r="G26" s="25">
        <f t="shared" si="36"/>
        <v>40.994000000000035</v>
      </c>
      <c r="H26" s="25">
        <f t="shared" si="36"/>
        <v>31.847000000000001</v>
      </c>
      <c r="I26" s="25">
        <f t="shared" si="36"/>
        <v>-28.878000000000011</v>
      </c>
      <c r="J26" s="25">
        <f t="shared" si="36"/>
        <v>-49.307999999999979</v>
      </c>
      <c r="K26" s="25">
        <f t="shared" si="36"/>
        <v>43.773999999999873</v>
      </c>
      <c r="L26" s="25">
        <f t="shared" si="36"/>
        <v>51.346000000000046</v>
      </c>
      <c r="M26" s="25">
        <f t="shared" si="36"/>
        <v>14.924000000000001</v>
      </c>
      <c r="N26" s="25">
        <f t="shared" si="36"/>
        <v>-1.2919999999999785</v>
      </c>
      <c r="O26" s="25">
        <f t="shared" si="36"/>
        <v>72.427000000000064</v>
      </c>
      <c r="P26" s="25">
        <f t="shared" si="36"/>
        <v>151.48699999999994</v>
      </c>
      <c r="Q26" s="25">
        <f t="shared" si="36"/>
        <v>57.383999999999972</v>
      </c>
      <c r="R26" s="25">
        <f t="shared" si="36"/>
        <v>34.514999999999986</v>
      </c>
      <c r="S26" s="25">
        <f t="shared" si="36"/>
        <v>109.85599999999995</v>
      </c>
      <c r="T26" s="25">
        <f t="shared" si="36"/>
        <v>146.43499999999997</v>
      </c>
      <c r="U26" s="25">
        <f t="shared" si="36"/>
        <v>134.12000000000009</v>
      </c>
      <c r="V26" s="25">
        <f t="shared" si="36"/>
        <v>185.52699999999999</v>
      </c>
      <c r="W26" s="25">
        <f t="shared" si="36"/>
        <v>244.24600000000001</v>
      </c>
      <c r="X26" s="25"/>
      <c r="Y26" s="25"/>
      <c r="Z26" s="25"/>
      <c r="AA26" s="25"/>
      <c r="AB26" s="25"/>
      <c r="AC26" s="25"/>
      <c r="AD26" s="25"/>
      <c r="AH26" s="2">
        <f>+AH24+AH25</f>
        <v>-68.046000000000006</v>
      </c>
      <c r="AI26" s="2">
        <f>+AI24+AI25</f>
        <v>-36.319999999999922</v>
      </c>
      <c r="AJ26" s="2">
        <f>+AJ24+AJ25</f>
        <v>-5.3449999999997839</v>
      </c>
      <c r="AK26" s="2">
        <f>+AK24+AK25</f>
        <v>108.75199999999982</v>
      </c>
      <c r="AL26" s="2">
        <f t="shared" ref="AL26:AS26" si="37">+AL24+AL25</f>
        <v>1023.0081200000002</v>
      </c>
      <c r="AM26" s="2">
        <f t="shared" si="37"/>
        <v>1350.9697779999999</v>
      </c>
      <c r="AN26" s="2">
        <f t="shared" si="37"/>
        <v>1596.6306601839999</v>
      </c>
      <c r="AO26" s="2">
        <f t="shared" si="37"/>
        <v>1681.1002638362716</v>
      </c>
      <c r="AP26" s="2">
        <f t="shared" si="37"/>
        <v>1764.8914991695708</v>
      </c>
      <c r="AQ26" s="2">
        <f t="shared" si="37"/>
        <v>1854.8295078429353</v>
      </c>
      <c r="AR26" s="2">
        <f t="shared" si="37"/>
        <v>1951.4432324815875</v>
      </c>
      <c r="AS26" s="2">
        <f t="shared" si="37"/>
        <v>2050.9260822690335</v>
      </c>
    </row>
    <row r="27" spans="2:126" s="2" customFormat="1" x14ac:dyDescent="0.25">
      <c r="B27" s="2" t="s">
        <v>74</v>
      </c>
      <c r="C27" s="25"/>
      <c r="D27" s="25"/>
      <c r="E27" s="25">
        <v>0</v>
      </c>
      <c r="F27" s="25">
        <v>0</v>
      </c>
      <c r="G27" s="25">
        <v>5.8570000000000002</v>
      </c>
      <c r="H27" s="25">
        <v>1.2150000000000001</v>
      </c>
      <c r="I27" s="25">
        <v>-9.6660000000000004</v>
      </c>
      <c r="J27" s="25">
        <v>-8.6760000000000002</v>
      </c>
      <c r="K27" s="25">
        <v>13.388999999999999</v>
      </c>
      <c r="L27" s="25">
        <v>7.1870000000000003</v>
      </c>
      <c r="M27" s="25">
        <v>4.7480000000000002</v>
      </c>
      <c r="N27" s="25">
        <v>-17.309000000000001</v>
      </c>
      <c r="O27" s="25">
        <v>5.9050000000000002</v>
      </c>
      <c r="P27" s="25">
        <v>14.77</v>
      </c>
      <c r="Q27" s="25">
        <v>1.2909999999999999</v>
      </c>
      <c r="R27" s="25">
        <v>-1.048</v>
      </c>
      <c r="S27" s="25">
        <v>16.885000000000002</v>
      </c>
      <c r="T27" s="25">
        <v>24.962</v>
      </c>
      <c r="U27" s="25">
        <v>28.361000000000001</v>
      </c>
      <c r="V27" s="25">
        <v>44.695999999999998</v>
      </c>
      <c r="W27" s="25">
        <v>52.402999999999999</v>
      </c>
      <c r="X27" s="25"/>
      <c r="Y27" s="25"/>
      <c r="Z27" s="25"/>
      <c r="AA27" s="25"/>
      <c r="AB27" s="25"/>
      <c r="AC27" s="25"/>
      <c r="AD27" s="25"/>
      <c r="AH27" s="2">
        <v>0</v>
      </c>
      <c r="AI27" s="2">
        <v>0</v>
      </c>
      <c r="AJ27" s="2">
        <f t="shared" ref="AJ27" si="38">SUM(G27:J27)</f>
        <v>-11.27</v>
      </c>
      <c r="AK27" s="2">
        <f t="shared" si="34"/>
        <v>8.0150000000000006</v>
      </c>
      <c r="AL27" s="2">
        <f>+AL26*0</f>
        <v>0</v>
      </c>
      <c r="AM27" s="2">
        <f>+AM26*0</f>
        <v>0</v>
      </c>
      <c r="AN27" s="2">
        <f>+AN26*0.1</f>
        <v>159.6630660184</v>
      </c>
      <c r="AO27" s="2">
        <f>+AO26*0.2</f>
        <v>336.22005276725434</v>
      </c>
      <c r="AP27" s="2">
        <f t="shared" ref="AP27:AS27" si="39">+AP26*0.2</f>
        <v>352.97829983391421</v>
      </c>
      <c r="AQ27" s="2">
        <f t="shared" si="39"/>
        <v>370.96590156858707</v>
      </c>
      <c r="AR27" s="2">
        <f t="shared" si="39"/>
        <v>390.28864649631754</v>
      </c>
      <c r="AS27" s="2">
        <f t="shared" si="39"/>
        <v>410.18521645380673</v>
      </c>
    </row>
    <row r="28" spans="2:126" s="2" customFormat="1" x14ac:dyDescent="0.25">
      <c r="B28" s="2" t="s">
        <v>71</v>
      </c>
      <c r="C28" s="25"/>
      <c r="D28" s="25"/>
      <c r="E28" s="25">
        <f t="shared" ref="E28:U28" si="40">+E26-E27</f>
        <v>-43.828000000000053</v>
      </c>
      <c r="F28" s="25">
        <f t="shared" si="40"/>
        <v>-21.590000000000003</v>
      </c>
      <c r="G28" s="25">
        <f t="shared" si="40"/>
        <v>35.137000000000036</v>
      </c>
      <c r="H28" s="25">
        <f t="shared" si="40"/>
        <v>30.632000000000001</v>
      </c>
      <c r="I28" s="25">
        <f t="shared" si="40"/>
        <v>-19.21200000000001</v>
      </c>
      <c r="J28" s="25">
        <f t="shared" si="40"/>
        <v>-40.631999999999977</v>
      </c>
      <c r="K28" s="25">
        <f t="shared" si="40"/>
        <v>30.384999999999874</v>
      </c>
      <c r="L28" s="25">
        <f t="shared" si="40"/>
        <v>44.159000000000049</v>
      </c>
      <c r="M28" s="25">
        <f t="shared" si="40"/>
        <v>10.176000000000002</v>
      </c>
      <c r="N28" s="25">
        <f t="shared" si="40"/>
        <v>16.017000000000024</v>
      </c>
      <c r="O28" s="25">
        <f t="shared" si="40"/>
        <v>66.522000000000062</v>
      </c>
      <c r="P28" s="25">
        <f t="shared" si="40"/>
        <v>136.71699999999993</v>
      </c>
      <c r="Q28" s="25">
        <f t="shared" si="40"/>
        <v>56.092999999999975</v>
      </c>
      <c r="R28" s="25">
        <f t="shared" si="40"/>
        <v>35.562999999999988</v>
      </c>
      <c r="S28" s="25">
        <f t="shared" si="40"/>
        <v>92.970999999999947</v>
      </c>
      <c r="T28" s="25">
        <f t="shared" si="40"/>
        <v>121.47299999999997</v>
      </c>
      <c r="U28" s="25">
        <f t="shared" si="40"/>
        <v>105.75900000000009</v>
      </c>
      <c r="V28" s="25">
        <f>+V26-V27</f>
        <v>140.83099999999999</v>
      </c>
      <c r="W28" s="25">
        <f>+W26-W27</f>
        <v>191.84300000000002</v>
      </c>
      <c r="X28" s="25"/>
      <c r="Y28" s="25"/>
      <c r="Z28" s="25"/>
      <c r="AA28" s="25"/>
      <c r="AB28" s="25"/>
      <c r="AC28" s="25"/>
      <c r="AD28" s="25"/>
      <c r="AH28" s="2">
        <f>+AH26-AH27</f>
        <v>-68.046000000000006</v>
      </c>
      <c r="AI28" s="2">
        <f>+AI26-AI27</f>
        <v>-36.319999999999922</v>
      </c>
      <c r="AJ28" s="2">
        <f>+AJ26-AJ27</f>
        <v>5.9250000000002156</v>
      </c>
      <c r="AK28" s="2">
        <f>+AK26-AK27</f>
        <v>100.73699999999982</v>
      </c>
      <c r="AL28" s="2">
        <f t="shared" ref="AL28:AS28" si="41">+AL26-AL27</f>
        <v>1023.0081200000002</v>
      </c>
      <c r="AM28" s="2">
        <f t="shared" si="41"/>
        <v>1350.9697779999999</v>
      </c>
      <c r="AN28" s="2">
        <f t="shared" si="41"/>
        <v>1436.9675941655998</v>
      </c>
      <c r="AO28" s="2">
        <f t="shared" si="41"/>
        <v>1344.8802110690172</v>
      </c>
      <c r="AP28" s="2">
        <f t="shared" si="41"/>
        <v>1411.9131993356566</v>
      </c>
      <c r="AQ28" s="2">
        <f t="shared" si="41"/>
        <v>1483.8636062743483</v>
      </c>
      <c r="AR28" s="2">
        <f t="shared" si="41"/>
        <v>1561.1545859852699</v>
      </c>
      <c r="AS28" s="2">
        <f t="shared" si="41"/>
        <v>1640.7408658152267</v>
      </c>
      <c r="AT28" s="2">
        <f>+AS28*(1+$AV$35)</f>
        <v>1624.3334571570745</v>
      </c>
      <c r="AU28" s="2">
        <f t="shared" ref="AU28:DF28" si="42">+AT28*(1+$AV$35)</f>
        <v>1608.0901225855037</v>
      </c>
      <c r="AV28" s="2">
        <f t="shared" si="42"/>
        <v>1592.0092213596486</v>
      </c>
      <c r="AW28" s="2">
        <f t="shared" si="42"/>
        <v>1576.0891291460521</v>
      </c>
      <c r="AX28" s="2">
        <f t="shared" si="42"/>
        <v>1560.3282378545916</v>
      </c>
      <c r="AY28" s="2">
        <f t="shared" si="42"/>
        <v>1544.7249554760458</v>
      </c>
      <c r="AZ28" s="2">
        <f t="shared" si="42"/>
        <v>1529.2777059212854</v>
      </c>
      <c r="BA28" s="2">
        <f t="shared" si="42"/>
        <v>1513.9849288620726</v>
      </c>
      <c r="BB28" s="2">
        <f t="shared" si="42"/>
        <v>1498.8450795734518</v>
      </c>
      <c r="BC28" s="2">
        <f t="shared" si="42"/>
        <v>1483.8566287777173</v>
      </c>
      <c r="BD28" s="2">
        <f t="shared" si="42"/>
        <v>1469.0180624899401</v>
      </c>
      <c r="BE28" s="2">
        <f t="shared" si="42"/>
        <v>1454.3278818650408</v>
      </c>
      <c r="BF28" s="2">
        <f t="shared" si="42"/>
        <v>1439.7846030463904</v>
      </c>
      <c r="BG28" s="2">
        <f t="shared" si="42"/>
        <v>1425.3867570159266</v>
      </c>
      <c r="BH28" s="2">
        <f t="shared" si="42"/>
        <v>1411.1328894457674</v>
      </c>
      <c r="BI28" s="2">
        <f t="shared" si="42"/>
        <v>1397.0215605513097</v>
      </c>
      <c r="BJ28" s="2">
        <f t="shared" si="42"/>
        <v>1383.0513449457965</v>
      </c>
      <c r="BK28" s="2">
        <f t="shared" si="42"/>
        <v>1369.2208314963384</v>
      </c>
      <c r="BL28" s="2">
        <f t="shared" si="42"/>
        <v>1355.528623181375</v>
      </c>
      <c r="BM28" s="2">
        <f t="shared" si="42"/>
        <v>1341.9733369495611</v>
      </c>
      <c r="BN28" s="2">
        <f t="shared" si="42"/>
        <v>1328.5536035800656</v>
      </c>
      <c r="BO28" s="2">
        <f t="shared" si="42"/>
        <v>1315.2680675442648</v>
      </c>
      <c r="BP28" s="2">
        <f t="shared" si="42"/>
        <v>1302.115386868822</v>
      </c>
      <c r="BQ28" s="2">
        <f t="shared" si="42"/>
        <v>1289.0942330001337</v>
      </c>
      <c r="BR28" s="2">
        <f t="shared" si="42"/>
        <v>1276.2032906701324</v>
      </c>
      <c r="BS28" s="2">
        <f t="shared" si="42"/>
        <v>1263.4412577634312</v>
      </c>
      <c r="BT28" s="2">
        <f t="shared" si="42"/>
        <v>1250.8068451857969</v>
      </c>
      <c r="BU28" s="2">
        <f t="shared" si="42"/>
        <v>1238.2987767339389</v>
      </c>
      <c r="BV28" s="2">
        <f t="shared" si="42"/>
        <v>1225.9157889665994</v>
      </c>
      <c r="BW28" s="2">
        <f t="shared" si="42"/>
        <v>1213.6566310769333</v>
      </c>
      <c r="BX28" s="2">
        <f t="shared" si="42"/>
        <v>1201.5200647661641</v>
      </c>
      <c r="BY28" s="2">
        <f t="shared" si="42"/>
        <v>1189.5048641185024</v>
      </c>
      <c r="BZ28" s="2">
        <f t="shared" si="42"/>
        <v>1177.6098154773174</v>
      </c>
      <c r="CA28" s="2">
        <f t="shared" si="42"/>
        <v>1165.8337173225443</v>
      </c>
      <c r="CB28" s="2">
        <f t="shared" si="42"/>
        <v>1154.1753801493189</v>
      </c>
      <c r="CC28" s="2">
        <f t="shared" si="42"/>
        <v>1142.6336263478258</v>
      </c>
      <c r="CD28" s="2">
        <f t="shared" si="42"/>
        <v>1131.2072900843475</v>
      </c>
      <c r="CE28" s="2">
        <f t="shared" si="42"/>
        <v>1119.895217183504</v>
      </c>
      <c r="CF28" s="2">
        <f t="shared" si="42"/>
        <v>1108.6962650116689</v>
      </c>
      <c r="CG28" s="2">
        <f t="shared" si="42"/>
        <v>1097.6093023615522</v>
      </c>
      <c r="CH28" s="2">
        <f t="shared" si="42"/>
        <v>1086.6332093379367</v>
      </c>
      <c r="CI28" s="2">
        <f t="shared" si="42"/>
        <v>1075.7668772445572</v>
      </c>
      <c r="CJ28" s="2">
        <f t="shared" si="42"/>
        <v>1065.0092084721116</v>
      </c>
      <c r="CK28" s="2">
        <f t="shared" si="42"/>
        <v>1054.3591163873905</v>
      </c>
      <c r="CL28" s="2">
        <f t="shared" si="42"/>
        <v>1043.8155252235165</v>
      </c>
      <c r="CM28" s="2">
        <f t="shared" si="42"/>
        <v>1033.3773699712813</v>
      </c>
      <c r="CN28" s="2">
        <f t="shared" si="42"/>
        <v>1023.0435962715684</v>
      </c>
      <c r="CO28" s="2">
        <f t="shared" si="42"/>
        <v>1012.8131603088527</v>
      </c>
      <c r="CP28" s="2">
        <f t="shared" si="42"/>
        <v>1002.6850287057642</v>
      </c>
      <c r="CQ28" s="2">
        <f t="shared" si="42"/>
        <v>992.6581784187066</v>
      </c>
      <c r="CR28" s="2">
        <f t="shared" si="42"/>
        <v>982.73159663451952</v>
      </c>
      <c r="CS28" s="2">
        <f t="shared" si="42"/>
        <v>972.90428066817435</v>
      </c>
      <c r="CT28" s="2">
        <f t="shared" si="42"/>
        <v>963.17523786149263</v>
      </c>
      <c r="CU28" s="2">
        <f t="shared" si="42"/>
        <v>953.54348548287771</v>
      </c>
      <c r="CV28" s="2">
        <f t="shared" si="42"/>
        <v>944.00805062804898</v>
      </c>
      <c r="CW28" s="2">
        <f t="shared" si="42"/>
        <v>934.56797012176844</v>
      </c>
      <c r="CX28" s="2">
        <f t="shared" si="42"/>
        <v>925.22229042055073</v>
      </c>
      <c r="CY28" s="2">
        <f t="shared" si="42"/>
        <v>915.97006751634524</v>
      </c>
      <c r="CZ28" s="2">
        <f t="shared" si="42"/>
        <v>906.8103668411818</v>
      </c>
      <c r="DA28" s="2">
        <f t="shared" si="42"/>
        <v>897.74226317276998</v>
      </c>
      <c r="DB28" s="2">
        <f t="shared" si="42"/>
        <v>888.7648405410423</v>
      </c>
      <c r="DC28" s="2">
        <f t="shared" si="42"/>
        <v>879.87719213563184</v>
      </c>
      <c r="DD28" s="2">
        <f t="shared" si="42"/>
        <v>871.07842021427552</v>
      </c>
      <c r="DE28" s="2">
        <f t="shared" si="42"/>
        <v>862.36763601213272</v>
      </c>
      <c r="DF28" s="2">
        <f t="shared" si="42"/>
        <v>853.74395965201143</v>
      </c>
      <c r="DG28" s="2">
        <f t="shared" ref="DG28:DV28" si="43">+DF28*(1+$AV$35)</f>
        <v>845.2065200554913</v>
      </c>
      <c r="DH28" s="2">
        <f t="shared" si="43"/>
        <v>836.7544548549364</v>
      </c>
      <c r="DI28" s="2">
        <f t="shared" si="43"/>
        <v>828.38691030638699</v>
      </c>
      <c r="DJ28" s="2">
        <f t="shared" si="43"/>
        <v>820.10304120332307</v>
      </c>
      <c r="DK28" s="2">
        <f t="shared" si="43"/>
        <v>811.90201079128985</v>
      </c>
      <c r="DL28" s="2">
        <f t="shared" si="43"/>
        <v>803.78299068337697</v>
      </c>
      <c r="DM28" s="2">
        <f t="shared" si="43"/>
        <v>795.74516077654323</v>
      </c>
      <c r="DN28" s="2">
        <f t="shared" si="43"/>
        <v>787.78770916877784</v>
      </c>
      <c r="DO28" s="2">
        <f t="shared" si="43"/>
        <v>779.90983207709007</v>
      </c>
      <c r="DP28" s="2">
        <f t="shared" si="43"/>
        <v>772.11073375631918</v>
      </c>
      <c r="DQ28" s="2">
        <f t="shared" si="43"/>
        <v>764.38962641875594</v>
      </c>
      <c r="DR28" s="2">
        <f t="shared" si="43"/>
        <v>756.74573015456838</v>
      </c>
      <c r="DS28" s="2">
        <f t="shared" si="43"/>
        <v>749.17827285302269</v>
      </c>
      <c r="DT28" s="2">
        <f t="shared" si="43"/>
        <v>741.68649012449248</v>
      </c>
      <c r="DU28" s="2">
        <f t="shared" si="43"/>
        <v>734.26962522324754</v>
      </c>
      <c r="DV28" s="2">
        <f t="shared" si="43"/>
        <v>726.92692897101506</v>
      </c>
    </row>
    <row r="29" spans="2:126" x14ac:dyDescent="0.25">
      <c r="B29" t="s">
        <v>70</v>
      </c>
      <c r="E29" s="27">
        <f t="shared" ref="E29:Q29" si="44">+E28/E30</f>
        <v>-0.22171858716877307</v>
      </c>
      <c r="F29" s="27">
        <f t="shared" si="44"/>
        <v>-0.11703419414991655</v>
      </c>
      <c r="G29" s="27">
        <f t="shared" si="44"/>
        <v>0.19058389607571954</v>
      </c>
      <c r="H29" s="27">
        <f t="shared" si="44"/>
        <v>0.16519708564556404</v>
      </c>
      <c r="I29" s="27">
        <f t="shared" si="44"/>
        <v>-0.10486098223934857</v>
      </c>
      <c r="J29" s="27">
        <f t="shared" si="44"/>
        <v>-0.22136265077306938</v>
      </c>
      <c r="K29" s="27">
        <f t="shared" si="44"/>
        <v>0.15591166117627678</v>
      </c>
      <c r="L29" s="27">
        <f t="shared" si="44"/>
        <v>0.23558000085357031</v>
      </c>
      <c r="M29" s="27">
        <f t="shared" si="44"/>
        <v>5.4828472442981308E-2</v>
      </c>
      <c r="N29" s="27">
        <f t="shared" si="44"/>
        <v>8.6099941944223587E-2</v>
      </c>
      <c r="O29" s="27">
        <f t="shared" si="44"/>
        <v>0.34225649943662151</v>
      </c>
      <c r="P29" s="27">
        <f t="shared" si="44"/>
        <v>0.70112001148729697</v>
      </c>
      <c r="Q29" s="27">
        <f t="shared" si="44"/>
        <v>0.29341486506985803</v>
      </c>
      <c r="R29" s="27">
        <f t="shared" ref="R29:W29" si="45">R28/R30</f>
        <v>0.1853803730230715</v>
      </c>
      <c r="S29" s="27">
        <f t="shared" si="45"/>
        <v>0.46657666790456759</v>
      </c>
      <c r="T29" s="27">
        <f t="shared" si="45"/>
        <v>0.60583526595346737</v>
      </c>
      <c r="U29" s="27">
        <f t="shared" si="45"/>
        <v>0.53644742248170196</v>
      </c>
      <c r="V29" s="27">
        <f t="shared" si="45"/>
        <v>0.71640189031493373</v>
      </c>
      <c r="W29" s="27">
        <f t="shared" si="45"/>
        <v>0.97642945122509861</v>
      </c>
      <c r="X29" s="27"/>
      <c r="Y29" s="27"/>
      <c r="Z29" s="27"/>
      <c r="AA29" s="27"/>
      <c r="AB29" s="27"/>
      <c r="AC29" s="27"/>
      <c r="AD29" s="27"/>
      <c r="AH29" s="1">
        <f>+AH28/AH30</f>
        <v>-0.3800624444953335</v>
      </c>
      <c r="AI29" s="1">
        <f>+AI28/AI30</f>
        <v>-0.18948444787612517</v>
      </c>
      <c r="AJ29" s="1">
        <f>+AJ28/AJ30</f>
        <v>3.2176604757251086E-2</v>
      </c>
      <c r="AK29" s="1">
        <f>+AK28/AK30</f>
        <v>0.53444285431966365</v>
      </c>
      <c r="AL29" s="1">
        <f t="shared" ref="AL29:AS29" si="46">+AL28/AL30</f>
        <v>5.4273939033820149</v>
      </c>
      <c r="AM29" s="1">
        <f t="shared" si="46"/>
        <v>7.1673381602978399</v>
      </c>
      <c r="AN29" s="1">
        <f t="shared" si="46"/>
        <v>7.6235848058878517</v>
      </c>
      <c r="AO29" s="1">
        <f t="shared" si="46"/>
        <v>7.1350310086835869</v>
      </c>
      <c r="AP29" s="1">
        <f t="shared" si="46"/>
        <v>7.4906630166131389</v>
      </c>
      <c r="AQ29" s="1">
        <f t="shared" si="46"/>
        <v>7.8723835448577342</v>
      </c>
      <c r="AR29" s="1">
        <f t="shared" si="46"/>
        <v>8.2824375648292268</v>
      </c>
      <c r="AS29" s="1">
        <f t="shared" si="46"/>
        <v>8.7046689054191351</v>
      </c>
    </row>
    <row r="30" spans="2:126" x14ac:dyDescent="0.25">
      <c r="B30" t="s">
        <v>1</v>
      </c>
      <c r="E30" s="25">
        <v>197.67400000000001</v>
      </c>
      <c r="F30" s="25">
        <v>184.476</v>
      </c>
      <c r="G30" s="25">
        <v>184.36500000000001</v>
      </c>
      <c r="H30" s="25">
        <v>185.42699999999999</v>
      </c>
      <c r="I30" s="25">
        <v>183.214</v>
      </c>
      <c r="J30" s="25">
        <v>183.554</v>
      </c>
      <c r="K30" s="25">
        <v>194.886</v>
      </c>
      <c r="L30" s="25">
        <v>187.44800000000001</v>
      </c>
      <c r="M30" s="25">
        <v>185.59700000000001</v>
      </c>
      <c r="N30" s="25">
        <v>186.02799999999999</v>
      </c>
      <c r="O30" s="25">
        <v>194.363</v>
      </c>
      <c r="P30" s="25">
        <v>194.99799999999999</v>
      </c>
      <c r="Q30" s="25">
        <v>191.173</v>
      </c>
      <c r="R30" s="25">
        <v>191.83799999999999</v>
      </c>
      <c r="S30" s="25">
        <v>199.262</v>
      </c>
      <c r="T30" s="25">
        <v>200.505</v>
      </c>
      <c r="U30" s="25">
        <v>197.14699999999999</v>
      </c>
      <c r="V30" s="25">
        <v>196.58099999999999</v>
      </c>
      <c r="W30" s="25">
        <v>196.47399999999999</v>
      </c>
      <c r="X30" s="25"/>
      <c r="Y30" s="25"/>
      <c r="Z30" s="25"/>
      <c r="AA30" s="25"/>
      <c r="AB30" s="25"/>
      <c r="AC30" s="25"/>
      <c r="AD30" s="25"/>
      <c r="AH30" s="2">
        <v>179.03899999999999</v>
      </c>
      <c r="AI30" s="2">
        <v>191.678</v>
      </c>
      <c r="AJ30" s="2">
        <f>AVERAGE(G30:J30)</f>
        <v>184.14000000000001</v>
      </c>
      <c r="AK30" s="2">
        <f>AVERAGE(K30:N30)</f>
        <v>188.48975000000002</v>
      </c>
      <c r="AL30" s="2">
        <f>+AK30</f>
        <v>188.48975000000002</v>
      </c>
      <c r="AM30" s="2">
        <f t="shared" ref="AM30:AS30" si="47">+AL30</f>
        <v>188.48975000000002</v>
      </c>
      <c r="AN30" s="2">
        <f t="shared" si="47"/>
        <v>188.48975000000002</v>
      </c>
      <c r="AO30" s="2">
        <f t="shared" si="47"/>
        <v>188.48975000000002</v>
      </c>
      <c r="AP30" s="2">
        <f t="shared" si="47"/>
        <v>188.48975000000002</v>
      </c>
      <c r="AQ30" s="2">
        <f t="shared" si="47"/>
        <v>188.48975000000002</v>
      </c>
      <c r="AR30" s="2">
        <f t="shared" si="47"/>
        <v>188.48975000000002</v>
      </c>
      <c r="AS30" s="2">
        <f t="shared" si="47"/>
        <v>188.48975000000002</v>
      </c>
    </row>
    <row r="32" spans="2:126" x14ac:dyDescent="0.25">
      <c r="B32" t="s">
        <v>170</v>
      </c>
      <c r="U32" s="16">
        <v>0.32</v>
      </c>
      <c r="V32" s="16">
        <v>0.21</v>
      </c>
      <c r="W32" s="16">
        <v>0.17</v>
      </c>
    </row>
    <row r="33" spans="2:48" s="23" customFormat="1" ht="13" x14ac:dyDescent="0.3">
      <c r="B33" s="23" t="s">
        <v>75</v>
      </c>
      <c r="C33" s="24"/>
      <c r="D33" s="24"/>
      <c r="E33" s="24"/>
      <c r="F33" s="24"/>
      <c r="G33" s="24"/>
      <c r="H33" s="24"/>
      <c r="I33" s="28">
        <f t="shared" ref="I33:N33" si="48">+I18/E18-1</f>
        <v>-0.14251074478282844</v>
      </c>
      <c r="J33" s="28">
        <f t="shared" si="48"/>
        <v>-5.0456564441062612E-3</v>
      </c>
      <c r="K33" s="28">
        <f t="shared" si="48"/>
        <v>6.8454370953439758E-2</v>
      </c>
      <c r="L33" s="28">
        <f t="shared" si="48"/>
        <v>6.3993318623142059E-2</v>
      </c>
      <c r="M33" s="28">
        <f t="shared" si="48"/>
        <v>0.23615833582027501</v>
      </c>
      <c r="N33" s="28">
        <f t="shared" si="48"/>
        <v>0.19510172502339995</v>
      </c>
      <c r="O33" s="28">
        <f t="shared" ref="O33" si="49">+O18/K18-1</f>
        <v>0.14842278764725614</v>
      </c>
      <c r="P33" s="28">
        <f t="shared" ref="P33" si="50">+P18/L18-1</f>
        <v>0.11516903397914557</v>
      </c>
      <c r="Q33" s="28">
        <f t="shared" ref="Q33" si="51">+Q18/M18-1</f>
        <v>0.15043020200101309</v>
      </c>
      <c r="R33" s="28">
        <f t="shared" ref="R33" si="52">+R18/N18-1</f>
        <v>0.2020534056620269</v>
      </c>
      <c r="S33" s="28">
        <f t="shared" ref="S33" si="53">+S18/O18-1</f>
        <v>8.7906910456645004E-2</v>
      </c>
      <c r="T33" s="28">
        <f t="shared" ref="T33" si="54">+T18/P18-1</f>
        <v>0.1961345596573012</v>
      </c>
      <c r="U33" s="28">
        <f t="shared" ref="U33" si="55">+U18/Q18-1</f>
        <v>0.28297294461463851</v>
      </c>
      <c r="V33" s="28">
        <f t="shared" ref="V33" si="56">+V18/R18-1</f>
        <v>0.15556542584719857</v>
      </c>
      <c r="W33" s="28">
        <f t="shared" ref="W33:Z33" si="57">+W18/S18-1</f>
        <v>0.14742680829290222</v>
      </c>
      <c r="X33" s="28">
        <f t="shared" si="57"/>
        <v>0.10241689594103631</v>
      </c>
      <c r="Y33" s="28">
        <f t="shared" si="57"/>
        <v>0.1018940221726754</v>
      </c>
      <c r="Z33" s="28">
        <f t="shared" si="57"/>
        <v>0.1057348606295343</v>
      </c>
      <c r="AA33" s="28"/>
      <c r="AB33" s="28"/>
      <c r="AC33" s="28"/>
      <c r="AD33" s="28"/>
      <c r="AI33" s="29">
        <f>+AI18/AH18-1</f>
        <v>0.10560056609215063</v>
      </c>
      <c r="AJ33" s="29">
        <f>+AJ18/AI18-1</f>
        <v>-6.9633957835607552E-3</v>
      </c>
      <c r="AK33" s="29">
        <f>+AK18/AJ18-1</f>
        <v>0.13522647692985101</v>
      </c>
      <c r="AL33" s="29">
        <f t="shared" ref="AL33:AS33" si="58">+AL18/AK18-1</f>
        <v>0.15419208386171546</v>
      </c>
      <c r="AM33" s="29">
        <f t="shared" si="58"/>
        <v>0.17948530347898384</v>
      </c>
      <c r="AN33" s="29">
        <f t="shared" si="58"/>
        <v>0.11338332004520901</v>
      </c>
      <c r="AO33" s="29">
        <f t="shared" si="58"/>
        <v>3.7515417746762258E-2</v>
      </c>
      <c r="AP33" s="29">
        <f t="shared" si="58"/>
        <v>3.7195944629090816E-2</v>
      </c>
      <c r="AQ33" s="29">
        <f t="shared" si="58"/>
        <v>3.8233396977213729E-2</v>
      </c>
      <c r="AR33" s="29">
        <f t="shared" si="58"/>
        <v>3.9285846035489902E-2</v>
      </c>
      <c r="AS33" s="29">
        <f t="shared" si="58"/>
        <v>3.884817236567728E-2</v>
      </c>
    </row>
    <row r="34" spans="2:48" x14ac:dyDescent="0.25">
      <c r="B34" t="s">
        <v>76</v>
      </c>
      <c r="E34" s="16">
        <f t="shared" ref="E34:L34" si="59">+E20/E18</f>
        <v>0.6039941855465103</v>
      </c>
      <c r="F34" s="16">
        <f t="shared" si="59"/>
        <v>0.72097807428905125</v>
      </c>
      <c r="G34" s="16">
        <f t="shared" si="59"/>
        <v>0.75277588615420699</v>
      </c>
      <c r="H34" s="16">
        <f t="shared" si="59"/>
        <v>0.74673356016528036</v>
      </c>
      <c r="I34" s="16">
        <f t="shared" si="59"/>
        <v>0.74673069114143276</v>
      </c>
      <c r="J34" s="16">
        <f t="shared" si="59"/>
        <v>0.73376523763258938</v>
      </c>
      <c r="K34" s="16">
        <f t="shared" si="59"/>
        <v>0.77477885137503022</v>
      </c>
      <c r="L34" s="16">
        <f t="shared" si="59"/>
        <v>0.7693397127752446</v>
      </c>
      <c r="M34" s="16">
        <f t="shared" ref="M34:N34" si="60">+M20/M18</f>
        <v>0.76988348530901718</v>
      </c>
      <c r="N34" s="16">
        <f t="shared" si="60"/>
        <v>0.7632016608811153</v>
      </c>
      <c r="O34" s="16">
        <f t="shared" ref="O34:T34" si="61">+O20/O18</f>
        <v>0.77285614882254816</v>
      </c>
      <c r="P34" s="16">
        <f t="shared" si="61"/>
        <v>0.88985594893116626</v>
      </c>
      <c r="Q34" s="16">
        <f t="shared" si="61"/>
        <v>0.78542666113942572</v>
      </c>
      <c r="R34" s="16">
        <f t="shared" si="61"/>
        <v>0.79033333900789127</v>
      </c>
      <c r="S34" s="16">
        <f t="shared" si="61"/>
        <v>0.80707227006799775</v>
      </c>
      <c r="T34" s="16">
        <f t="shared" si="61"/>
        <v>0.81677853008795998</v>
      </c>
      <c r="U34" s="16">
        <f t="shared" ref="U34:V34" si="62">+U20/U18</f>
        <v>0.74733366136058021</v>
      </c>
      <c r="V34" s="16">
        <f t="shared" si="62"/>
        <v>0.81767399377778138</v>
      </c>
      <c r="W34" s="16">
        <f t="shared" ref="W34" si="63">+W20/W18</f>
        <v>0.79643009210195825</v>
      </c>
      <c r="X34" s="16"/>
      <c r="Y34" s="16"/>
      <c r="Z34" s="16"/>
      <c r="AA34" s="16"/>
      <c r="AB34" s="16"/>
      <c r="AC34" s="16"/>
      <c r="AD34" s="16"/>
      <c r="AH34" s="16">
        <f>+AH20/AH18</f>
        <v>0.78624907459988524</v>
      </c>
      <c r="AI34" s="16">
        <f>+AI20/AI18</f>
        <v>0.71802630460809314</v>
      </c>
      <c r="AJ34" s="16">
        <f>+AJ20/AJ18</f>
        <v>0.74516437051106876</v>
      </c>
      <c r="AK34" s="16">
        <f>+AK20/AK18</f>
        <v>0.76924431136696081</v>
      </c>
      <c r="AL34" s="16">
        <f t="shared" ref="AL34:AS34" si="64">+AL20/AL18</f>
        <v>0.78999999999999992</v>
      </c>
      <c r="AM34" s="16">
        <f t="shared" si="64"/>
        <v>0.79000000000000015</v>
      </c>
      <c r="AN34" s="16">
        <f t="shared" si="64"/>
        <v>0.79</v>
      </c>
      <c r="AO34" s="16">
        <f t="shared" si="64"/>
        <v>0.78999999999999992</v>
      </c>
      <c r="AP34" s="16">
        <f t="shared" si="64"/>
        <v>0.78999999999999992</v>
      </c>
      <c r="AQ34" s="16">
        <f t="shared" si="64"/>
        <v>0.79</v>
      </c>
      <c r="AR34" s="16">
        <f t="shared" si="64"/>
        <v>0.78999999999999992</v>
      </c>
      <c r="AS34" s="16">
        <f t="shared" si="64"/>
        <v>0.78999999999999992</v>
      </c>
      <c r="AU34" t="s">
        <v>90</v>
      </c>
      <c r="AV34" s="30">
        <v>0.08</v>
      </c>
    </row>
    <row r="35" spans="2:48" x14ac:dyDescent="0.25">
      <c r="B35" t="s">
        <v>88</v>
      </c>
      <c r="H35" s="16"/>
      <c r="I35" s="16">
        <f t="shared" ref="I35:K35" si="65">+I22/E22-1</f>
        <v>2.1638339370298132E-2</v>
      </c>
      <c r="J35" s="16">
        <f t="shared" si="65"/>
        <v>0.11278591595400789</v>
      </c>
      <c r="K35" s="16">
        <f t="shared" si="65"/>
        <v>0.11645957388221517</v>
      </c>
      <c r="L35" s="16">
        <f>+L22/H22-1</f>
        <v>6.8820217092652625E-2</v>
      </c>
      <c r="M35" s="16">
        <f t="shared" ref="M35:N35" si="66">+M22/I22-1</f>
        <v>0.18263487751795915</v>
      </c>
      <c r="N35" s="16">
        <f t="shared" si="66"/>
        <v>0.12950731512251634</v>
      </c>
      <c r="O35" s="16">
        <f t="shared" ref="O35" si="67">+O22/K22-1</f>
        <v>8.4287762243151931E-2</v>
      </c>
      <c r="P35" s="16">
        <f t="shared" ref="P35" si="68">+P22/L22-1</f>
        <v>4.7085122056544915E-2</v>
      </c>
      <c r="Q35" s="16">
        <f t="shared" ref="Q35" si="69">+Q22/M22-1</f>
        <v>3.2802007231938601E-2</v>
      </c>
      <c r="R35" s="16">
        <f t="shared" ref="R35" si="70">+R22/N22-1</f>
        <v>0.11917115313401605</v>
      </c>
      <c r="S35" s="16">
        <f t="shared" ref="S35" si="71">+S22/O22-1</f>
        <v>7.0527857153011908E-2</v>
      </c>
      <c r="T35" s="16">
        <f t="shared" ref="T35" si="72">+T22/P22-1</f>
        <v>0.27621626080163786</v>
      </c>
      <c r="U35" s="16">
        <f t="shared" ref="U35" si="73">+U22/Q22-1</f>
        <v>-0.17428369833160651</v>
      </c>
      <c r="V35" s="16">
        <f t="shared" ref="V35" si="74">+V22/R22-1</f>
        <v>-3.0604601780208185E-2</v>
      </c>
      <c r="W35" s="16">
        <f t="shared" ref="W35" si="75">+W22/S22-1</f>
        <v>-8.7602808247678188E-2</v>
      </c>
      <c r="X35" s="16"/>
      <c r="Y35" s="16"/>
      <c r="Z35" s="16"/>
      <c r="AA35" s="16"/>
      <c r="AB35" s="16"/>
      <c r="AC35" s="16"/>
      <c r="AD35" s="16"/>
      <c r="AE35" s="16"/>
      <c r="AI35" s="16">
        <f>+AI22/AH22-1</f>
        <v>8.3335291456902771E-2</v>
      </c>
      <c r="AJ35" s="16">
        <f>+AJ22/AI22-1</f>
        <v>2.9425121565363366E-2</v>
      </c>
      <c r="AK35" s="16">
        <f>+AK22/AJ22-1</f>
        <v>0.1246209053497942</v>
      </c>
      <c r="AL35" s="16">
        <f t="shared" ref="AL35:AS35" si="76">+AL22/AK22-1</f>
        <v>4.0000000000000036E-2</v>
      </c>
      <c r="AM35" s="16">
        <f t="shared" si="76"/>
        <v>4.0000000000000036E-2</v>
      </c>
      <c r="AN35" s="16">
        <f t="shared" si="76"/>
        <v>4.0000000000000036E-2</v>
      </c>
      <c r="AO35" s="16">
        <f t="shared" si="76"/>
        <v>4.0000000000000036E-2</v>
      </c>
      <c r="AP35" s="16">
        <f t="shared" si="76"/>
        <v>4.0000000000000036E-2</v>
      </c>
      <c r="AQ35" s="16">
        <f t="shared" si="76"/>
        <v>4.0000000000000036E-2</v>
      </c>
      <c r="AR35" s="16">
        <f t="shared" si="76"/>
        <v>4.0000000000000036E-2</v>
      </c>
      <c r="AS35" s="16">
        <f t="shared" si="76"/>
        <v>4.0000000000000036E-2</v>
      </c>
      <c r="AU35" t="s">
        <v>91</v>
      </c>
      <c r="AV35" s="30">
        <v>-0.01</v>
      </c>
    </row>
    <row r="36" spans="2:48" x14ac:dyDescent="0.25">
      <c r="B36" t="s">
        <v>89</v>
      </c>
      <c r="L36" s="16">
        <f>+L8/H8-1</f>
        <v>9.0355655238705257E-3</v>
      </c>
      <c r="M36" s="16">
        <f>+M8/I8-1</f>
        <v>0.13564645726807889</v>
      </c>
      <c r="N36" s="16">
        <f>+N8/J8-1</f>
        <v>-2.6871401151631558E-2</v>
      </c>
      <c r="O36" s="16">
        <f t="shared" ref="O36:T36" si="77">+O8/K8-1</f>
        <v>3.3836065573770613E-2</v>
      </c>
      <c r="P36" s="16">
        <f t="shared" si="77"/>
        <v>2.4167754003902919E-2</v>
      </c>
      <c r="Q36" s="16">
        <f t="shared" si="77"/>
        <v>2.2062134173795656E-2</v>
      </c>
      <c r="R36" s="16">
        <f t="shared" si="77"/>
        <v>0.15450361604207763</v>
      </c>
      <c r="S36" s="16">
        <f t="shared" si="77"/>
        <v>1.7590595796862507E-2</v>
      </c>
      <c r="T36" s="16">
        <f t="shared" si="77"/>
        <v>3.5176332641833064E-3</v>
      </c>
      <c r="U36" s="16">
        <f t="shared" ref="U36" si="78">+U8/Q8-1</f>
        <v>0.12020138451856499</v>
      </c>
      <c r="V36" s="16">
        <f t="shared" ref="V36" si="79">+V8/R8-1</f>
        <v>8.7699316628701673E-2</v>
      </c>
      <c r="W36" s="16">
        <f t="shared" ref="W36" si="80">+W8/S8-1</f>
        <v>-2.347808019945985E-2</v>
      </c>
      <c r="AI36" s="30">
        <f>+AI8/AH8-1</f>
        <v>1.8372221201556904E-4</v>
      </c>
      <c r="AJ36" s="30">
        <f>+AJ8/AI8-1</f>
        <v>0.14484753857457777</v>
      </c>
      <c r="AK36" s="30">
        <f>+AK8/AJ8-1</f>
        <v>6.5015122221241617E-2</v>
      </c>
      <c r="AL36" s="30">
        <f t="shared" ref="AL36:AS36" si="81">+AL8/AK8-1</f>
        <v>5.6205707949669836E-2</v>
      </c>
      <c r="AM36" s="30">
        <f t="shared" si="81"/>
        <v>5.4846494856536365E-2</v>
      </c>
      <c r="AN36" s="30">
        <f t="shared" si="81"/>
        <v>3.0871789879059142E-2</v>
      </c>
      <c r="AO36" s="30">
        <f t="shared" si="81"/>
        <v>4.0000000000000036E-2</v>
      </c>
      <c r="AP36" s="30">
        <f t="shared" si="81"/>
        <v>4.0000000000000036E-2</v>
      </c>
      <c r="AQ36" s="30">
        <f t="shared" si="81"/>
        <v>4.0000000000000036E-2</v>
      </c>
      <c r="AR36" s="30">
        <f t="shared" si="81"/>
        <v>4.0000000000000036E-2</v>
      </c>
      <c r="AS36" s="30">
        <f t="shared" si="81"/>
        <v>4.0000000000000036E-2</v>
      </c>
      <c r="AU36" t="s">
        <v>95</v>
      </c>
      <c r="AV36" s="30">
        <v>0.02</v>
      </c>
    </row>
    <row r="37" spans="2:48" x14ac:dyDescent="0.25">
      <c r="AU37" t="s">
        <v>92</v>
      </c>
      <c r="AV37" s="2">
        <f>NPV(AV34,AL28:DV28)+Main!L5-Main!L6</f>
        <v>18853.455038609995</v>
      </c>
    </row>
    <row r="38" spans="2:48" x14ac:dyDescent="0.25">
      <c r="B38" t="s">
        <v>94</v>
      </c>
      <c r="L38" s="25">
        <f>+Main!L5-Main!L6</f>
        <v>1183</v>
      </c>
      <c r="M38" s="25">
        <f>+M39-M51</f>
        <v>564.03700000000026</v>
      </c>
      <c r="N38" s="25"/>
      <c r="O38" s="25"/>
      <c r="P38" s="25"/>
      <c r="Q38" s="25"/>
      <c r="R38" s="25"/>
      <c r="S38" s="25"/>
      <c r="T38" s="25"/>
      <c r="U38" s="25"/>
      <c r="V38" s="25"/>
      <c r="W38" s="25">
        <f>+W39-W51</f>
        <v>1183.4090000000001</v>
      </c>
      <c r="X38" s="25"/>
      <c r="Y38" s="25"/>
      <c r="Z38" s="25"/>
      <c r="AA38" s="25"/>
      <c r="AB38" s="25"/>
      <c r="AC38" s="25"/>
      <c r="AD38" s="25"/>
      <c r="AK38" s="2">
        <f>+N38</f>
        <v>0</v>
      </c>
      <c r="AL38" s="2">
        <f>+AK38+AL28</f>
        <v>1023.0081200000002</v>
      </c>
      <c r="AM38" s="2">
        <f t="shared" ref="AM38:AS38" si="82">+AL38+AM28</f>
        <v>2373.9778980000001</v>
      </c>
      <c r="AN38" s="2">
        <f t="shared" si="82"/>
        <v>3810.9454921655997</v>
      </c>
      <c r="AO38" s="2">
        <f t="shared" si="82"/>
        <v>5155.8257032346173</v>
      </c>
      <c r="AP38" s="2">
        <f t="shared" si="82"/>
        <v>6567.7389025702741</v>
      </c>
      <c r="AQ38" s="2">
        <f t="shared" si="82"/>
        <v>8051.6025088446222</v>
      </c>
      <c r="AR38" s="2">
        <f t="shared" si="82"/>
        <v>9612.7570948298926</v>
      </c>
      <c r="AS38" s="2">
        <f t="shared" si="82"/>
        <v>11253.49796064512</v>
      </c>
      <c r="AU38" t="s">
        <v>93</v>
      </c>
      <c r="AV38" s="1">
        <f>+AV37/Main!L3</f>
        <v>96.191097135765276</v>
      </c>
    </row>
    <row r="39" spans="2:48" s="2" customFormat="1" x14ac:dyDescent="0.25">
      <c r="B39" s="2" t="s">
        <v>3</v>
      </c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>
        <f>761.515+512.253+372.302</f>
        <v>1646.0700000000002</v>
      </c>
      <c r="N39" s="25"/>
      <c r="O39" s="25"/>
      <c r="P39" s="25"/>
      <c r="Q39" s="25"/>
      <c r="R39" s="25"/>
      <c r="S39" s="25">
        <f>746.996+299.584+620.551</f>
        <v>1667.1309999999999</v>
      </c>
      <c r="T39" s="25"/>
      <c r="U39" s="25"/>
      <c r="V39" s="25"/>
      <c r="W39" s="25">
        <f>1048.803+223.532+506.724</f>
        <v>1779.059</v>
      </c>
      <c r="X39" s="25"/>
      <c r="Y39" s="25"/>
      <c r="Z39" s="25"/>
      <c r="AA39" s="25"/>
      <c r="AB39" s="25"/>
      <c r="AC39" s="25"/>
      <c r="AD39" s="25"/>
      <c r="AV39" s="30">
        <f>+AV38/Main!L2-1</f>
        <v>0.63284836421261725</v>
      </c>
    </row>
    <row r="40" spans="2:48" s="2" customFormat="1" x14ac:dyDescent="0.25">
      <c r="B40" s="2" t="s">
        <v>130</v>
      </c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>
        <v>419.62200000000001</v>
      </c>
      <c r="N40" s="25"/>
      <c r="O40" s="25"/>
      <c r="P40" s="25"/>
      <c r="Q40" s="25"/>
      <c r="R40" s="25"/>
      <c r="S40" s="25">
        <v>637.16300000000001</v>
      </c>
      <c r="T40" s="25"/>
      <c r="U40" s="25"/>
      <c r="V40" s="25"/>
      <c r="W40" s="25">
        <v>739.17700000000002</v>
      </c>
      <c r="X40" s="25"/>
      <c r="Y40" s="25"/>
      <c r="Z40" s="25"/>
      <c r="AA40" s="25"/>
      <c r="AB40" s="25"/>
      <c r="AC40" s="25"/>
      <c r="AD40" s="25"/>
    </row>
    <row r="41" spans="2:48" s="2" customFormat="1" x14ac:dyDescent="0.25">
      <c r="B41" s="2" t="s">
        <v>131</v>
      </c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>
        <v>839.46</v>
      </c>
      <c r="N41" s="25"/>
      <c r="O41" s="25"/>
      <c r="P41" s="25"/>
      <c r="Q41" s="25"/>
      <c r="R41" s="25"/>
      <c r="S41" s="25">
        <v>1137.982</v>
      </c>
      <c r="T41" s="25"/>
      <c r="U41" s="25"/>
      <c r="V41" s="25"/>
      <c r="W41" s="25">
        <v>1274.848</v>
      </c>
      <c r="X41" s="25"/>
      <c r="Y41" s="25"/>
      <c r="Z41" s="25"/>
      <c r="AA41" s="25"/>
      <c r="AB41" s="25"/>
      <c r="AC41" s="25"/>
      <c r="AD41" s="25"/>
    </row>
    <row r="42" spans="2:48" s="2" customFormat="1" x14ac:dyDescent="0.25">
      <c r="B42" s="2" t="s">
        <v>132</v>
      </c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>
        <v>149.851</v>
      </c>
      <c r="N42" s="25"/>
      <c r="O42" s="25"/>
      <c r="P42" s="25"/>
      <c r="Q42" s="25"/>
      <c r="R42" s="25"/>
      <c r="S42" s="25">
        <v>163.28700000000001</v>
      </c>
      <c r="T42" s="25"/>
      <c r="U42" s="25"/>
      <c r="V42" s="25"/>
      <c r="W42" s="25">
        <v>181.54499999999999</v>
      </c>
      <c r="X42" s="25"/>
      <c r="Y42" s="25"/>
      <c r="Z42" s="25"/>
      <c r="AA42" s="25"/>
      <c r="AB42" s="25"/>
      <c r="AC42" s="25"/>
      <c r="AD42" s="25"/>
    </row>
    <row r="43" spans="2:48" s="2" customFormat="1" x14ac:dyDescent="0.25">
      <c r="B43" s="2" t="s">
        <v>133</v>
      </c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>
        <v>1051.8209999999999</v>
      </c>
      <c r="N43" s="25"/>
      <c r="O43" s="25"/>
      <c r="P43" s="25"/>
      <c r="Q43" s="25"/>
      <c r="R43" s="25"/>
      <c r="S43" s="25">
        <v>1060.425</v>
      </c>
      <c r="T43" s="25"/>
      <c r="U43" s="25"/>
      <c r="V43" s="25"/>
      <c r="W43" s="25">
        <v>1032.6130000000001</v>
      </c>
      <c r="X43" s="25"/>
      <c r="Y43" s="25"/>
      <c r="Z43" s="25"/>
      <c r="AA43" s="25"/>
      <c r="AB43" s="25"/>
      <c r="AC43" s="25"/>
      <c r="AD43" s="25"/>
    </row>
    <row r="44" spans="2:48" s="2" customFormat="1" x14ac:dyDescent="0.25">
      <c r="B44" s="2" t="s">
        <v>134</v>
      </c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>
        <f>354.024+196.199</f>
        <v>550.22299999999996</v>
      </c>
      <c r="N44" s="25"/>
      <c r="O44" s="25"/>
      <c r="P44" s="25"/>
      <c r="Q44" s="25"/>
      <c r="R44" s="25"/>
      <c r="S44" s="25">
        <f>279.653+196.199</f>
        <v>475.85200000000003</v>
      </c>
      <c r="T44" s="25"/>
      <c r="U44" s="25"/>
      <c r="V44" s="25"/>
      <c r="W44" s="25">
        <f>247.346+196.199</f>
        <v>443.54500000000002</v>
      </c>
      <c r="X44" s="25"/>
      <c r="Y44" s="25"/>
      <c r="Z44" s="25"/>
      <c r="AA44" s="25"/>
      <c r="AB44" s="25"/>
      <c r="AC44" s="25"/>
      <c r="AD44" s="25"/>
    </row>
    <row r="45" spans="2:48" s="2" customFormat="1" x14ac:dyDescent="0.25">
      <c r="B45" s="2" t="s">
        <v>135</v>
      </c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>
        <v>1455.2049999999999</v>
      </c>
      <c r="N45" s="25"/>
      <c r="O45" s="25"/>
      <c r="P45" s="25"/>
      <c r="Q45" s="25"/>
      <c r="R45" s="25"/>
      <c r="S45" s="25">
        <v>1546.0429999999999</v>
      </c>
      <c r="T45" s="25"/>
      <c r="U45" s="25"/>
      <c r="V45" s="25"/>
      <c r="W45" s="25">
        <v>1460.566</v>
      </c>
      <c r="X45" s="25"/>
      <c r="Y45" s="25"/>
      <c r="Z45" s="25"/>
      <c r="AA45" s="25"/>
      <c r="AB45" s="25"/>
      <c r="AC45" s="25"/>
      <c r="AD45" s="25"/>
    </row>
    <row r="46" spans="2:48" s="2" customFormat="1" x14ac:dyDescent="0.25">
      <c r="B46" s="2" t="s">
        <v>136</v>
      </c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>
        <v>151.78800000000001</v>
      </c>
      <c r="N46" s="25"/>
      <c r="O46" s="25"/>
      <c r="P46" s="25"/>
      <c r="Q46" s="25"/>
      <c r="R46" s="25"/>
      <c r="S46" s="25">
        <v>184.79</v>
      </c>
      <c r="T46" s="25"/>
      <c r="U46" s="25"/>
      <c r="V46" s="25"/>
      <c r="W46" s="25">
        <v>235.654</v>
      </c>
      <c r="X46" s="25"/>
      <c r="Y46" s="25"/>
      <c r="Z46" s="25"/>
      <c r="AA46" s="25"/>
      <c r="AB46" s="25"/>
      <c r="AC46" s="25"/>
      <c r="AD46" s="25"/>
    </row>
    <row r="47" spans="2:48" s="2" customFormat="1" x14ac:dyDescent="0.25">
      <c r="B47" s="2" t="s">
        <v>137</v>
      </c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>
        <f>SUM(M39:M46)</f>
        <v>6264.0400000000009</v>
      </c>
      <c r="N47" s="25">
        <f t="shared" ref="N47:W47" si="83">SUM(N39:N46)</f>
        <v>0</v>
      </c>
      <c r="O47" s="25">
        <f t="shared" si="83"/>
        <v>0</v>
      </c>
      <c r="P47" s="25">
        <f t="shared" si="83"/>
        <v>0</v>
      </c>
      <c r="Q47" s="25">
        <f t="shared" si="83"/>
        <v>0</v>
      </c>
      <c r="R47" s="25">
        <f t="shared" si="83"/>
        <v>0</v>
      </c>
      <c r="S47" s="25">
        <f t="shared" si="83"/>
        <v>6872.6729999999989</v>
      </c>
      <c r="T47" s="25">
        <f t="shared" si="83"/>
        <v>0</v>
      </c>
      <c r="U47" s="25">
        <f t="shared" si="83"/>
        <v>0</v>
      </c>
      <c r="V47" s="25">
        <f t="shared" si="83"/>
        <v>0</v>
      </c>
      <c r="W47" s="25">
        <f t="shared" si="83"/>
        <v>7147.0069999999996</v>
      </c>
      <c r="X47" s="25"/>
      <c r="Y47" s="25"/>
      <c r="Z47" s="25"/>
      <c r="AA47" s="25"/>
      <c r="AB47" s="25"/>
      <c r="AC47" s="25"/>
      <c r="AD47" s="25"/>
    </row>
    <row r="49" spans="2:30" s="2" customFormat="1" x14ac:dyDescent="0.25">
      <c r="B49" s="2" t="s">
        <v>138</v>
      </c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>
        <v>492.71699999999998</v>
      </c>
      <c r="N49" s="25"/>
      <c r="O49" s="25"/>
      <c r="P49" s="25"/>
      <c r="Q49" s="25"/>
      <c r="R49" s="25"/>
      <c r="S49" s="25">
        <v>593.54300000000001</v>
      </c>
      <c r="T49" s="25"/>
      <c r="U49" s="25"/>
      <c r="V49" s="25"/>
      <c r="W49" s="25">
        <v>628.21299999999997</v>
      </c>
      <c r="X49" s="25"/>
      <c r="Y49" s="25"/>
      <c r="Z49" s="25"/>
      <c r="AA49" s="25"/>
      <c r="AB49" s="25"/>
      <c r="AC49" s="25"/>
      <c r="AD49" s="25"/>
    </row>
    <row r="50" spans="2:30" s="2" customFormat="1" x14ac:dyDescent="0.25">
      <c r="B50" s="2" t="s">
        <v>139</v>
      </c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>
        <v>28.303000000000001</v>
      </c>
      <c r="N50" s="25"/>
      <c r="O50" s="25"/>
      <c r="P50" s="25"/>
      <c r="Q50" s="25"/>
      <c r="R50" s="25"/>
      <c r="S50" s="25">
        <v>0</v>
      </c>
      <c r="T50" s="25"/>
      <c r="U50" s="25"/>
      <c r="V50" s="25"/>
      <c r="W50" s="25">
        <v>0</v>
      </c>
      <c r="X50" s="25"/>
      <c r="Y50" s="25"/>
      <c r="Z50" s="25"/>
      <c r="AA50" s="25"/>
      <c r="AB50" s="25"/>
      <c r="AC50" s="25"/>
      <c r="AD50" s="25"/>
    </row>
    <row r="51" spans="2:30" s="2" customFormat="1" x14ac:dyDescent="0.25">
      <c r="B51" s="2" t="s">
        <v>4</v>
      </c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>
        <v>1082.0329999999999</v>
      </c>
      <c r="N51" s="25"/>
      <c r="O51" s="25"/>
      <c r="P51" s="25"/>
      <c r="Q51" s="25"/>
      <c r="R51" s="25"/>
      <c r="S51" s="25">
        <f>494.357+593.605</f>
        <v>1087.962</v>
      </c>
      <c r="T51" s="25"/>
      <c r="U51" s="25"/>
      <c r="V51" s="25"/>
      <c r="W51" s="25">
        <v>595.65</v>
      </c>
      <c r="X51" s="25"/>
      <c r="Y51" s="25"/>
      <c r="Z51" s="25"/>
      <c r="AA51" s="25"/>
      <c r="AB51" s="25"/>
      <c r="AC51" s="25"/>
      <c r="AD51" s="25"/>
    </row>
    <row r="52" spans="2:30" s="2" customFormat="1" x14ac:dyDescent="0.25">
      <c r="B52" s="2" t="s">
        <v>140</v>
      </c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>
        <v>92.472999999999999</v>
      </c>
      <c r="N52" s="25"/>
      <c r="O52" s="25"/>
      <c r="P52" s="25"/>
      <c r="Q52" s="25"/>
      <c r="R52" s="25"/>
      <c r="S52" s="25">
        <v>117.352</v>
      </c>
      <c r="T52" s="25"/>
      <c r="U52" s="25"/>
      <c r="V52" s="25"/>
      <c r="W52" s="25">
        <v>129.685</v>
      </c>
      <c r="X52" s="25"/>
      <c r="Y52" s="25"/>
      <c r="Z52" s="25"/>
      <c r="AA52" s="25"/>
      <c r="AB52" s="25"/>
      <c r="AC52" s="25"/>
      <c r="AD52" s="25"/>
    </row>
    <row r="53" spans="2:30" s="2" customFormat="1" x14ac:dyDescent="0.25">
      <c r="B53" s="2" t="s">
        <v>129</v>
      </c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>
        <v>4568.5140000000001</v>
      </c>
      <c r="N53" s="25"/>
      <c r="O53" s="25"/>
      <c r="P53" s="25"/>
      <c r="Q53" s="25"/>
      <c r="R53" s="25"/>
      <c r="S53" s="25">
        <v>5073.8159999999998</v>
      </c>
      <c r="T53" s="25"/>
      <c r="U53" s="25"/>
      <c r="V53" s="25"/>
      <c r="W53" s="25">
        <v>5793.4589999999998</v>
      </c>
      <c r="X53" s="25"/>
      <c r="Y53" s="25"/>
      <c r="Z53" s="25"/>
      <c r="AA53" s="25"/>
      <c r="AB53" s="25"/>
      <c r="AC53" s="25"/>
      <c r="AD53" s="25"/>
    </row>
    <row r="54" spans="2:30" s="2" customFormat="1" x14ac:dyDescent="0.25">
      <c r="B54" s="2" t="s">
        <v>128</v>
      </c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>
        <f>SUM(M49:M53)</f>
        <v>6264.04</v>
      </c>
      <c r="N54" s="25">
        <f t="shared" ref="N54:W54" si="84">SUM(N49:N53)</f>
        <v>0</v>
      </c>
      <c r="O54" s="25">
        <f t="shared" si="84"/>
        <v>0</v>
      </c>
      <c r="P54" s="25">
        <f t="shared" si="84"/>
        <v>0</v>
      </c>
      <c r="Q54" s="25">
        <f t="shared" si="84"/>
        <v>0</v>
      </c>
      <c r="R54" s="25">
        <f t="shared" si="84"/>
        <v>0</v>
      </c>
      <c r="S54" s="25">
        <f t="shared" si="84"/>
        <v>6872.6729999999998</v>
      </c>
      <c r="T54" s="25">
        <f t="shared" si="84"/>
        <v>0</v>
      </c>
      <c r="U54" s="25">
        <f t="shared" si="84"/>
        <v>0</v>
      </c>
      <c r="V54" s="25">
        <f t="shared" si="84"/>
        <v>0</v>
      </c>
      <c r="W54" s="25">
        <f t="shared" si="84"/>
        <v>7147.0069999999996</v>
      </c>
      <c r="X54" s="25"/>
      <c r="Y54" s="25"/>
      <c r="Z54" s="25"/>
      <c r="AA54" s="25"/>
      <c r="AB54" s="25"/>
      <c r="AC54" s="25"/>
      <c r="AD54" s="25"/>
    </row>
    <row r="56" spans="2:30" s="2" customFormat="1" x14ac:dyDescent="0.25">
      <c r="B56" s="2" t="s">
        <v>156</v>
      </c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>
        <f>+W28</f>
        <v>191.84300000000002</v>
      </c>
      <c r="X56" s="25"/>
      <c r="Y56" s="25"/>
      <c r="Z56" s="25"/>
      <c r="AA56" s="25"/>
      <c r="AB56" s="25"/>
      <c r="AC56" s="25"/>
      <c r="AD56" s="25"/>
    </row>
    <row r="57" spans="2:30" s="2" customFormat="1" x14ac:dyDescent="0.25">
      <c r="B57" s="2" t="s">
        <v>157</v>
      </c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>
        <v>185.68600000000001</v>
      </c>
      <c r="X57" s="25"/>
      <c r="Y57" s="25"/>
      <c r="Z57" s="25"/>
      <c r="AA57" s="25"/>
      <c r="AB57" s="25"/>
      <c r="AC57" s="25"/>
      <c r="AD57" s="25"/>
    </row>
    <row r="58" spans="2:30" s="2" customFormat="1" x14ac:dyDescent="0.25">
      <c r="B58" s="2" t="s">
        <v>161</v>
      </c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>
        <v>22.068999999999999</v>
      </c>
      <c r="X58" s="25"/>
      <c r="Y58" s="25"/>
      <c r="Z58" s="25"/>
      <c r="AA58" s="25"/>
      <c r="AB58" s="25"/>
      <c r="AC58" s="25"/>
      <c r="AD58" s="25"/>
    </row>
    <row r="59" spans="2:30" s="2" customFormat="1" x14ac:dyDescent="0.25">
      <c r="B59" s="2" t="s">
        <v>162</v>
      </c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>
        <v>0.66</v>
      </c>
      <c r="X59" s="25"/>
      <c r="Y59" s="25"/>
      <c r="Z59" s="25"/>
      <c r="AA59" s="25"/>
      <c r="AB59" s="25"/>
      <c r="AC59" s="25"/>
      <c r="AD59" s="25"/>
    </row>
    <row r="60" spans="2:30" s="2" customFormat="1" x14ac:dyDescent="0.25">
      <c r="B60" s="2" t="s">
        <v>163</v>
      </c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>
        <v>-1.3620000000000001</v>
      </c>
      <c r="X60" s="25"/>
      <c r="Y60" s="25"/>
      <c r="Z60" s="25"/>
      <c r="AA60" s="25"/>
      <c r="AB60" s="25"/>
      <c r="AC60" s="25"/>
      <c r="AD60" s="25"/>
    </row>
    <row r="61" spans="2:30" s="2" customFormat="1" x14ac:dyDescent="0.25">
      <c r="B61" s="2" t="s">
        <v>164</v>
      </c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>
        <v>37.700000000000003</v>
      </c>
      <c r="X61" s="25"/>
      <c r="Y61" s="25"/>
      <c r="Z61" s="25"/>
      <c r="AA61" s="25"/>
      <c r="AB61" s="25"/>
      <c r="AC61" s="25"/>
      <c r="AD61" s="25"/>
    </row>
    <row r="62" spans="2:30" s="2" customFormat="1" x14ac:dyDescent="0.25">
      <c r="B62" s="2" t="s">
        <v>165</v>
      </c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>
        <v>2.9670000000000001</v>
      </c>
      <c r="X62" s="25"/>
      <c r="Y62" s="25"/>
      <c r="Z62" s="25"/>
      <c r="AA62" s="25"/>
      <c r="AB62" s="25"/>
      <c r="AC62" s="25"/>
      <c r="AD62" s="25"/>
    </row>
    <row r="63" spans="2:30" s="2" customFormat="1" x14ac:dyDescent="0.25">
      <c r="B63" s="2" t="s">
        <v>135</v>
      </c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>
        <v>28.428999999999998</v>
      </c>
      <c r="X63" s="25"/>
      <c r="Y63" s="25"/>
      <c r="Z63" s="25"/>
      <c r="AA63" s="25"/>
      <c r="AB63" s="25"/>
      <c r="AC63" s="25"/>
      <c r="AD63" s="25"/>
    </row>
    <row r="64" spans="2:30" s="2" customFormat="1" x14ac:dyDescent="0.25">
      <c r="B64" s="2" t="s">
        <v>166</v>
      </c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>
        <v>-10.026</v>
      </c>
      <c r="X64" s="25"/>
      <c r="Y64" s="25"/>
      <c r="Z64" s="25"/>
      <c r="AA64" s="25"/>
      <c r="AB64" s="25"/>
      <c r="AC64" s="25"/>
      <c r="AD64" s="25"/>
    </row>
    <row r="65" spans="2:30" s="2" customFormat="1" x14ac:dyDescent="0.25">
      <c r="B65" s="2" t="s">
        <v>136</v>
      </c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>
        <v>-1.2669999999999999</v>
      </c>
      <c r="X65" s="25"/>
      <c r="Y65" s="25"/>
      <c r="Z65" s="25"/>
      <c r="AA65" s="25"/>
      <c r="AB65" s="25"/>
      <c r="AC65" s="25"/>
      <c r="AD65" s="25"/>
    </row>
    <row r="66" spans="2:30" s="2" customFormat="1" x14ac:dyDescent="0.25">
      <c r="B66" s="2" t="s">
        <v>167</v>
      </c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>
        <f>-57.59-24.335-6.327-1.624-2.655+2.069</f>
        <v>-90.462000000000003</v>
      </c>
      <c r="X66" s="25"/>
      <c r="Y66" s="25"/>
      <c r="Z66" s="25"/>
      <c r="AA66" s="25"/>
      <c r="AB66" s="25"/>
      <c r="AC66" s="25"/>
      <c r="AD66" s="25"/>
    </row>
    <row r="67" spans="2:30" s="2" customFormat="1" x14ac:dyDescent="0.25">
      <c r="B67" s="2" t="s">
        <v>150</v>
      </c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>
        <v>-73.932000000000002</v>
      </c>
      <c r="P67" s="25"/>
      <c r="Q67" s="25"/>
      <c r="R67" s="25"/>
      <c r="S67" s="25">
        <v>46.970999999999997</v>
      </c>
      <c r="T67" s="25"/>
      <c r="U67" s="25"/>
      <c r="V67" s="25"/>
      <c r="W67" s="25">
        <f>SUM(W57:W66)</f>
        <v>174.39400000000001</v>
      </c>
      <c r="X67" s="25"/>
      <c r="Y67" s="25"/>
      <c r="Z67" s="25"/>
      <c r="AA67" s="25"/>
      <c r="AB67" s="25"/>
      <c r="AC67" s="25"/>
      <c r="AD67" s="25"/>
    </row>
    <row r="68" spans="2:30" s="2" customFormat="1" x14ac:dyDescent="0.25"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</row>
    <row r="69" spans="2:30" s="2" customFormat="1" x14ac:dyDescent="0.25">
      <c r="B69" s="2" t="s">
        <v>133</v>
      </c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>
        <v>-16.768000000000001</v>
      </c>
      <c r="X69" s="25"/>
      <c r="Y69" s="25"/>
      <c r="Z69" s="25"/>
      <c r="AA69" s="25"/>
      <c r="AB69" s="25"/>
      <c r="AC69" s="25"/>
      <c r="AD69" s="25"/>
    </row>
    <row r="70" spans="2:30" s="2" customFormat="1" x14ac:dyDescent="0.25">
      <c r="B70" s="2" t="s">
        <v>169</v>
      </c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>
        <f>77.804-89.274</f>
        <v>-11.469999999999999</v>
      </c>
      <c r="X70" s="25"/>
      <c r="Y70" s="25"/>
      <c r="Z70" s="25"/>
      <c r="AA70" s="25"/>
      <c r="AB70" s="25"/>
      <c r="AC70" s="25"/>
      <c r="AD70" s="25"/>
    </row>
    <row r="71" spans="2:30" s="2" customFormat="1" x14ac:dyDescent="0.25">
      <c r="B71" s="2" t="s">
        <v>168</v>
      </c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>
        <f>+W69+W70</f>
        <v>-28.238</v>
      </c>
      <c r="X71" s="25"/>
      <c r="Y71" s="25"/>
      <c r="Z71" s="25"/>
      <c r="AA71" s="25"/>
      <c r="AB71" s="25"/>
      <c r="AC71" s="25"/>
      <c r="AD71" s="25"/>
    </row>
    <row r="72" spans="2:30" s="2" customFormat="1" x14ac:dyDescent="0.25"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</row>
    <row r="73" spans="2:30" s="2" customFormat="1" x14ac:dyDescent="0.25">
      <c r="B73" s="2" t="s">
        <v>160</v>
      </c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>
        <v>-38.779000000000003</v>
      </c>
      <c r="X73" s="25"/>
      <c r="Y73" s="25"/>
      <c r="Z73" s="25"/>
      <c r="AA73" s="25"/>
      <c r="AB73" s="25"/>
      <c r="AC73" s="25"/>
      <c r="AD73" s="25"/>
    </row>
    <row r="74" spans="2:30" s="2" customFormat="1" x14ac:dyDescent="0.25">
      <c r="B74" s="2" t="s">
        <v>159</v>
      </c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>
        <v>-1.4159999999999999</v>
      </c>
      <c r="X74" s="25"/>
      <c r="Y74" s="25"/>
      <c r="Z74" s="25"/>
      <c r="AA74" s="25"/>
      <c r="AB74" s="25"/>
      <c r="AC74" s="25"/>
      <c r="AD74" s="25"/>
    </row>
    <row r="75" spans="2:30" s="2" customFormat="1" x14ac:dyDescent="0.25">
      <c r="B75" s="2" t="s">
        <v>158</v>
      </c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>
        <f>+W74+W73+W71+W67</f>
        <v>105.96100000000001</v>
      </c>
      <c r="X75" s="25"/>
      <c r="Y75" s="25"/>
      <c r="Z75" s="25"/>
      <c r="AA75" s="25"/>
      <c r="AB75" s="25"/>
      <c r="AC75" s="25"/>
      <c r="AD75" s="25"/>
    </row>
  </sheetData>
  <hyperlinks>
    <hyperlink ref="A1" location="Main!A1" display="Main" xr:uid="{A55303B1-EC0E-4753-B9F5-82325FA3A6D0}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FA70B-CAA0-492C-8056-6074BCBE4B30}">
  <dimension ref="A1:D11"/>
  <sheetViews>
    <sheetView zoomScale="205" zoomScaleNormal="205" workbookViewId="0"/>
  </sheetViews>
  <sheetFormatPr defaultRowHeight="12.5" x14ac:dyDescent="0.25"/>
  <cols>
    <col min="1" max="1" width="4.6328125" bestFit="1" customWidth="1"/>
    <col min="2" max="2" width="11.54296875" bestFit="1" customWidth="1"/>
  </cols>
  <sheetData>
    <row r="1" spans="1:4" x14ac:dyDescent="0.25">
      <c r="A1" s="22" t="s">
        <v>49</v>
      </c>
    </row>
    <row r="2" spans="1:4" x14ac:dyDescent="0.25">
      <c r="B2" t="s">
        <v>98</v>
      </c>
      <c r="C2" t="s">
        <v>82</v>
      </c>
    </row>
    <row r="3" spans="1:4" x14ac:dyDescent="0.25">
      <c r="B3" t="s">
        <v>99</v>
      </c>
      <c r="C3" t="s">
        <v>172</v>
      </c>
    </row>
    <row r="4" spans="1:4" x14ac:dyDescent="0.25">
      <c r="B4" t="s">
        <v>15</v>
      </c>
      <c r="C4" t="s">
        <v>179</v>
      </c>
    </row>
    <row r="5" spans="1:4" x14ac:dyDescent="0.25">
      <c r="D5" t="s">
        <v>180</v>
      </c>
    </row>
    <row r="6" spans="1:4" x14ac:dyDescent="0.25">
      <c r="C6" t="s">
        <v>173</v>
      </c>
    </row>
    <row r="7" spans="1:4" x14ac:dyDescent="0.25">
      <c r="B7" t="s">
        <v>33</v>
      </c>
    </row>
    <row r="8" spans="1:4" x14ac:dyDescent="0.25">
      <c r="B8" t="s">
        <v>100</v>
      </c>
    </row>
    <row r="9" spans="1:4" x14ac:dyDescent="0.25">
      <c r="C9" t="s">
        <v>174</v>
      </c>
    </row>
    <row r="11" spans="1:4" ht="13" x14ac:dyDescent="0.3">
      <c r="C11" s="31" t="s">
        <v>178</v>
      </c>
    </row>
  </sheetData>
  <hyperlinks>
    <hyperlink ref="A1" location="Main!A1" display="Main" xr:uid="{981E8F23-54CA-428E-8791-8E1CA5FE187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2E64F-F7F4-44D8-89AE-BB5BF258514B}">
  <dimension ref="A1:N30"/>
  <sheetViews>
    <sheetView zoomScale="160" zoomScaleNormal="160" workbookViewId="0">
      <selection activeCell="D17" sqref="D17"/>
    </sheetView>
  </sheetViews>
  <sheetFormatPr defaultRowHeight="12.5" x14ac:dyDescent="0.25"/>
  <cols>
    <col min="1" max="1" width="5" bestFit="1" customWidth="1"/>
    <col min="2" max="2" width="14.453125" customWidth="1"/>
    <col min="3" max="9" width="9.7265625" customWidth="1"/>
    <col min="10" max="11" width="9.81640625" customWidth="1"/>
    <col min="12" max="12" width="10.26953125" customWidth="1"/>
    <col min="13" max="13" width="9.81640625" customWidth="1"/>
    <col min="14" max="14" width="10.453125" customWidth="1"/>
  </cols>
  <sheetData>
    <row r="1" spans="1:9" x14ac:dyDescent="0.25">
      <c r="A1" s="22" t="s">
        <v>49</v>
      </c>
    </row>
    <row r="2" spans="1:9" x14ac:dyDescent="0.25">
      <c r="B2" t="s">
        <v>98</v>
      </c>
    </row>
    <row r="3" spans="1:9" x14ac:dyDescent="0.25">
      <c r="B3" t="s">
        <v>99</v>
      </c>
      <c r="C3" t="s">
        <v>29</v>
      </c>
    </row>
    <row r="4" spans="1:9" x14ac:dyDescent="0.25">
      <c r="B4" t="s">
        <v>15</v>
      </c>
      <c r="C4" t="s">
        <v>107</v>
      </c>
    </row>
    <row r="5" spans="1:9" x14ac:dyDescent="0.25">
      <c r="C5" t="s">
        <v>111</v>
      </c>
    </row>
    <row r="6" spans="1:9" x14ac:dyDescent="0.25">
      <c r="B6" t="s">
        <v>33</v>
      </c>
      <c r="C6" t="s">
        <v>106</v>
      </c>
      <c r="I6" s="2"/>
    </row>
    <row r="7" spans="1:9" x14ac:dyDescent="0.25">
      <c r="B7" t="s">
        <v>101</v>
      </c>
      <c r="C7" t="s">
        <v>102</v>
      </c>
    </row>
    <row r="8" spans="1:9" x14ac:dyDescent="0.25">
      <c r="C8" t="s">
        <v>110</v>
      </c>
    </row>
    <row r="9" spans="1:9" x14ac:dyDescent="0.25">
      <c r="B9" t="s">
        <v>126</v>
      </c>
      <c r="C9" t="s">
        <v>127</v>
      </c>
    </row>
    <row r="10" spans="1:9" x14ac:dyDescent="0.25">
      <c r="B10" t="s">
        <v>113</v>
      </c>
      <c r="C10" t="s">
        <v>114</v>
      </c>
    </row>
    <row r="11" spans="1:9" x14ac:dyDescent="0.25">
      <c r="B11" t="s">
        <v>100</v>
      </c>
    </row>
    <row r="12" spans="1:9" ht="13" x14ac:dyDescent="0.3">
      <c r="C12" s="31" t="s">
        <v>115</v>
      </c>
    </row>
    <row r="13" spans="1:9" x14ac:dyDescent="0.25">
      <c r="C13" t="s">
        <v>103</v>
      </c>
    </row>
    <row r="14" spans="1:9" x14ac:dyDescent="0.25">
      <c r="C14" s="48" t="s">
        <v>125</v>
      </c>
    </row>
    <row r="15" spans="1:9" x14ac:dyDescent="0.25">
      <c r="C15" t="s">
        <v>116</v>
      </c>
    </row>
    <row r="16" spans="1:9" x14ac:dyDescent="0.25">
      <c r="D16" s="3" t="s">
        <v>122</v>
      </c>
      <c r="E16" s="3" t="s">
        <v>123</v>
      </c>
      <c r="G16" t="s">
        <v>124</v>
      </c>
      <c r="H16" s="3" t="s">
        <v>122</v>
      </c>
      <c r="I16" s="3" t="s">
        <v>123</v>
      </c>
    </row>
    <row r="17" spans="2:14" x14ac:dyDescent="0.25">
      <c r="C17" t="s">
        <v>117</v>
      </c>
      <c r="D17" s="3">
        <v>52.6</v>
      </c>
      <c r="E17" s="3">
        <v>80.8</v>
      </c>
      <c r="H17" s="3"/>
      <c r="I17" s="3"/>
    </row>
    <row r="18" spans="2:14" x14ac:dyDescent="0.25">
      <c r="C18" t="s">
        <v>118</v>
      </c>
      <c r="D18" s="3">
        <v>42.4</v>
      </c>
      <c r="E18" s="3">
        <v>63.4</v>
      </c>
      <c r="F18" s="30">
        <f t="shared" ref="F18:F20" si="0">+E18/E17-1</f>
        <v>-0.21534653465346532</v>
      </c>
      <c r="H18" s="16">
        <v>0.12</v>
      </c>
      <c r="I18" s="16">
        <v>7.0000000000000007E-2</v>
      </c>
    </row>
    <row r="19" spans="2:14" x14ac:dyDescent="0.25">
      <c r="C19" t="s">
        <v>119</v>
      </c>
      <c r="D19" s="3">
        <v>26.1</v>
      </c>
      <c r="E19" s="3">
        <v>38.6</v>
      </c>
      <c r="F19" s="30">
        <f t="shared" si="0"/>
        <v>-0.39116719242902209</v>
      </c>
      <c r="H19" s="3"/>
      <c r="I19" s="3"/>
    </row>
    <row r="20" spans="2:14" x14ac:dyDescent="0.25">
      <c r="C20" t="s">
        <v>120</v>
      </c>
      <c r="D20" s="3">
        <v>22.7</v>
      </c>
      <c r="E20" s="3">
        <v>35.6</v>
      </c>
      <c r="F20" s="30">
        <f t="shared" si="0"/>
        <v>-7.7720207253885953E-2</v>
      </c>
      <c r="H20" s="16">
        <v>0.25</v>
      </c>
      <c r="I20" s="16">
        <v>0.15</v>
      </c>
    </row>
    <row r="21" spans="2:14" x14ac:dyDescent="0.25">
      <c r="C21" t="s">
        <v>121</v>
      </c>
      <c r="D21" s="3">
        <v>15.2</v>
      </c>
      <c r="E21" s="3">
        <v>24.6</v>
      </c>
      <c r="F21" s="30">
        <f>+E21/E20-1</f>
        <v>-0.3089887640449438</v>
      </c>
      <c r="H21" s="16">
        <v>0.37</v>
      </c>
      <c r="I21" s="16">
        <v>0.27</v>
      </c>
    </row>
    <row r="24" spans="2:14" x14ac:dyDescent="0.25">
      <c r="C24">
        <v>2023</v>
      </c>
      <c r="D24">
        <f>+C24+1</f>
        <v>2024</v>
      </c>
      <c r="E24">
        <f t="shared" ref="E24:N24" si="1">+D24+1</f>
        <v>2025</v>
      </c>
      <c r="F24">
        <f t="shared" si="1"/>
        <v>2026</v>
      </c>
      <c r="G24">
        <f t="shared" si="1"/>
        <v>2027</v>
      </c>
      <c r="H24">
        <f t="shared" si="1"/>
        <v>2028</v>
      </c>
      <c r="I24">
        <f t="shared" si="1"/>
        <v>2029</v>
      </c>
      <c r="J24">
        <f t="shared" si="1"/>
        <v>2030</v>
      </c>
      <c r="K24">
        <f t="shared" si="1"/>
        <v>2031</v>
      </c>
      <c r="L24">
        <f t="shared" si="1"/>
        <v>2032</v>
      </c>
      <c r="M24">
        <f t="shared" si="1"/>
        <v>2033</v>
      </c>
      <c r="N24">
        <f t="shared" si="1"/>
        <v>2034</v>
      </c>
    </row>
    <row r="25" spans="2:14" x14ac:dyDescent="0.25">
      <c r="B25" t="s">
        <v>105</v>
      </c>
      <c r="C25" s="2">
        <f>330000000/10000</f>
        <v>33000</v>
      </c>
      <c r="D25" s="2">
        <f>+C25-C26</f>
        <v>32700</v>
      </c>
      <c r="E25" s="2">
        <f>+D25-D26</f>
        <v>32100</v>
      </c>
      <c r="F25" s="2">
        <f t="shared" ref="F25:G25" si="2">+E25-E26</f>
        <v>31137</v>
      </c>
      <c r="G25" s="2">
        <f t="shared" si="2"/>
        <v>30202.89</v>
      </c>
      <c r="H25" s="2">
        <f t="shared" ref="H25:I25" si="3">+G25-G26</f>
        <v>29296.8033</v>
      </c>
      <c r="I25" s="2">
        <f t="shared" si="3"/>
        <v>28417.899201</v>
      </c>
      <c r="J25" s="2">
        <f t="shared" ref="J25:L25" si="4">+I25-I26</f>
        <v>27565.362224969998</v>
      </c>
      <c r="K25" s="2">
        <f t="shared" si="4"/>
        <v>26738.401358220897</v>
      </c>
      <c r="L25" s="2">
        <f t="shared" si="4"/>
        <v>25936.24931747427</v>
      </c>
      <c r="M25" s="2">
        <f t="shared" ref="M25:N25" si="5">+L25-L26</f>
        <v>25158.161837950043</v>
      </c>
      <c r="N25" s="2">
        <f t="shared" si="5"/>
        <v>24403.416982811541</v>
      </c>
    </row>
    <row r="26" spans="2:14" x14ac:dyDescent="0.25">
      <c r="B26" t="s">
        <v>104</v>
      </c>
      <c r="C26" s="2">
        <v>300</v>
      </c>
      <c r="D26" s="2">
        <v>600</v>
      </c>
      <c r="E26" s="2">
        <f>+E25*0.03</f>
        <v>963</v>
      </c>
      <c r="F26" s="2">
        <f t="shared" ref="F26:N26" si="6">+F25*0.03</f>
        <v>934.11</v>
      </c>
      <c r="G26" s="2">
        <f t="shared" si="6"/>
        <v>906.08669999999995</v>
      </c>
      <c r="H26" s="2">
        <f t="shared" si="6"/>
        <v>878.90409899999997</v>
      </c>
      <c r="I26" s="2">
        <f t="shared" si="6"/>
        <v>852.53697603000001</v>
      </c>
      <c r="J26" s="2">
        <f t="shared" si="6"/>
        <v>826.96086674909986</v>
      </c>
      <c r="K26" s="2">
        <f t="shared" si="6"/>
        <v>802.15204074662688</v>
      </c>
      <c r="L26" s="2">
        <f t="shared" si="6"/>
        <v>778.08747952422812</v>
      </c>
      <c r="M26" s="2">
        <f t="shared" si="6"/>
        <v>754.74485513850129</v>
      </c>
      <c r="N26" s="2">
        <f t="shared" si="6"/>
        <v>732.10250948434623</v>
      </c>
    </row>
    <row r="27" spans="2:14" x14ac:dyDescent="0.25">
      <c r="B27" t="s">
        <v>0</v>
      </c>
      <c r="C27" s="2">
        <v>2000</v>
      </c>
      <c r="D27" s="2">
        <v>2000</v>
      </c>
      <c r="E27" s="2">
        <v>2000</v>
      </c>
      <c r="F27" s="2">
        <v>2000</v>
      </c>
      <c r="G27" s="2">
        <v>2000</v>
      </c>
      <c r="H27" s="2">
        <v>2000</v>
      </c>
      <c r="I27" s="2">
        <v>2000</v>
      </c>
      <c r="J27" s="2">
        <v>2000</v>
      </c>
      <c r="K27" s="2">
        <v>2000</v>
      </c>
      <c r="L27" s="2">
        <v>2000</v>
      </c>
      <c r="M27" s="2">
        <v>2000</v>
      </c>
      <c r="N27" s="2">
        <v>2000</v>
      </c>
    </row>
    <row r="28" spans="2:14" s="23" customFormat="1" ht="13" x14ac:dyDescent="0.3">
      <c r="B28" s="23" t="s">
        <v>50</v>
      </c>
      <c r="C28" s="4">
        <f>+C26*C27</f>
        <v>600000</v>
      </c>
      <c r="D28" s="4">
        <f t="shared" ref="D28:I28" si="7">+D26*D27</f>
        <v>1200000</v>
      </c>
      <c r="E28" s="4">
        <f t="shared" si="7"/>
        <v>1926000</v>
      </c>
      <c r="F28" s="4">
        <f t="shared" si="7"/>
        <v>1868220</v>
      </c>
      <c r="G28" s="4">
        <f t="shared" si="7"/>
        <v>1812173.4</v>
      </c>
      <c r="H28" s="4">
        <f t="shared" si="7"/>
        <v>1757808.1979999999</v>
      </c>
      <c r="I28" s="4">
        <f t="shared" si="7"/>
        <v>1705073.95206</v>
      </c>
      <c r="J28" s="4">
        <f t="shared" ref="J28" si="8">+J26*J27</f>
        <v>1653921.7334981998</v>
      </c>
      <c r="K28" s="4">
        <f t="shared" ref="K28" si="9">+K26*K27</f>
        <v>1604304.0814932538</v>
      </c>
      <c r="L28" s="4">
        <f t="shared" ref="L28" si="10">+L26*L27</f>
        <v>1556174.9590484563</v>
      </c>
      <c r="M28" s="4">
        <f t="shared" ref="M28" si="11">+M26*M27</f>
        <v>1509489.7102770025</v>
      </c>
      <c r="N28" s="4">
        <f t="shared" ref="N28" si="12">+N26*N27</f>
        <v>1464205.0189686925</v>
      </c>
    </row>
    <row r="30" spans="2:14" x14ac:dyDescent="0.25">
      <c r="B30" t="s">
        <v>112</v>
      </c>
      <c r="D30" s="2">
        <f>D26+C26</f>
        <v>900</v>
      </c>
      <c r="E30" s="2">
        <f>+D30+E26</f>
        <v>1863</v>
      </c>
      <c r="F30" s="2">
        <f t="shared" ref="F30:L30" si="13">+E30+F26</f>
        <v>2797.11</v>
      </c>
      <c r="G30" s="2">
        <f t="shared" si="13"/>
        <v>3703.1967</v>
      </c>
      <c r="H30" s="2">
        <f t="shared" si="13"/>
        <v>4582.1007989999998</v>
      </c>
      <c r="I30" s="2">
        <f t="shared" si="13"/>
        <v>5434.6377750299998</v>
      </c>
      <c r="J30" s="2">
        <f t="shared" si="13"/>
        <v>6261.5986417791</v>
      </c>
      <c r="K30" s="2">
        <f t="shared" si="13"/>
        <v>7063.7506825257269</v>
      </c>
      <c r="L30" s="2">
        <f t="shared" si="13"/>
        <v>7841.8381620499549</v>
      </c>
    </row>
  </sheetData>
  <hyperlinks>
    <hyperlink ref="A1" location="Main!A1" display="Main" xr:uid="{C51FEB2E-034C-40F6-8038-95D6F02F18C3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60A15-29A8-4F13-9FCA-9B377E9F471D}">
  <dimension ref="A1:H10"/>
  <sheetViews>
    <sheetView zoomScale="250" zoomScaleNormal="250" workbookViewId="0"/>
  </sheetViews>
  <sheetFormatPr defaultRowHeight="12.5" x14ac:dyDescent="0.25"/>
  <cols>
    <col min="1" max="1" width="5" bestFit="1" customWidth="1"/>
  </cols>
  <sheetData>
    <row r="1" spans="1:8" x14ac:dyDescent="0.25">
      <c r="A1" s="22" t="s">
        <v>49</v>
      </c>
    </row>
    <row r="3" spans="1:8" ht="13" x14ac:dyDescent="0.3">
      <c r="B3" s="3" t="s">
        <v>96</v>
      </c>
      <c r="C3">
        <v>0</v>
      </c>
      <c r="D3" s="4">
        <v>500</v>
      </c>
      <c r="E3" s="2">
        <v>1000</v>
      </c>
      <c r="F3" s="2">
        <v>2000</v>
      </c>
      <c r="G3" s="2">
        <v>3000</v>
      </c>
      <c r="H3" s="2">
        <v>4000</v>
      </c>
    </row>
    <row r="4" spans="1:8" ht="13" x14ac:dyDescent="0.3">
      <c r="B4">
        <v>400</v>
      </c>
      <c r="C4" s="35">
        <v>68</v>
      </c>
      <c r="D4" s="44">
        <f>+D5-7</f>
        <v>86</v>
      </c>
      <c r="E4" s="34">
        <f t="shared" ref="E4:F4" si="0">+E5-7</f>
        <v>104</v>
      </c>
      <c r="F4" s="40">
        <f t="shared" si="0"/>
        <v>141</v>
      </c>
      <c r="G4" s="40">
        <f t="shared" ref="G4" si="1">+G5-7</f>
        <v>167</v>
      </c>
      <c r="H4" s="40">
        <f t="shared" ref="H4" si="2">+H5-7</f>
        <v>196</v>
      </c>
    </row>
    <row r="5" spans="1:8" ht="13" x14ac:dyDescent="0.3">
      <c r="B5">
        <v>600</v>
      </c>
      <c r="C5" s="32">
        <v>75</v>
      </c>
      <c r="D5" s="45">
        <f>+D6-6</f>
        <v>93</v>
      </c>
      <c r="E5" s="1">
        <f t="shared" ref="E5:F5" si="3">+E6-6</f>
        <v>111</v>
      </c>
      <c r="F5" s="41">
        <f t="shared" si="3"/>
        <v>148</v>
      </c>
      <c r="G5" s="41">
        <f t="shared" ref="G5" si="4">+G6-6</f>
        <v>174</v>
      </c>
      <c r="H5" s="41">
        <f t="shared" ref="H5" si="5">+H6-6</f>
        <v>203</v>
      </c>
    </row>
    <row r="6" spans="1:8" ht="13" x14ac:dyDescent="0.3">
      <c r="B6">
        <v>800</v>
      </c>
      <c r="C6" s="33">
        <v>81</v>
      </c>
      <c r="D6" s="46">
        <v>99</v>
      </c>
      <c r="E6" s="42">
        <v>117</v>
      </c>
      <c r="F6" s="39">
        <v>154</v>
      </c>
      <c r="G6" s="39">
        <v>180</v>
      </c>
      <c r="H6" s="39">
        <v>209</v>
      </c>
    </row>
    <row r="7" spans="1:8" ht="13" x14ac:dyDescent="0.3">
      <c r="D7" s="23"/>
    </row>
    <row r="8" spans="1:8" ht="13" x14ac:dyDescent="0.3">
      <c r="B8" s="3" t="s">
        <v>97</v>
      </c>
      <c r="C8" s="36">
        <f>+C4/90-1</f>
        <v>-0.24444444444444446</v>
      </c>
      <c r="D8" s="43">
        <f t="shared" ref="D8:F8" si="6">+D4/90-1</f>
        <v>-4.4444444444444398E-2</v>
      </c>
      <c r="E8" s="30">
        <f t="shared" si="6"/>
        <v>0.15555555555555545</v>
      </c>
      <c r="F8" s="38">
        <f t="shared" si="6"/>
        <v>0.56666666666666665</v>
      </c>
      <c r="G8" s="38">
        <f t="shared" ref="G8:H8" si="7">+G4/90-1</f>
        <v>0.85555555555555562</v>
      </c>
      <c r="H8" s="38">
        <f t="shared" si="7"/>
        <v>1.1777777777777776</v>
      </c>
    </row>
    <row r="9" spans="1:8" ht="13" x14ac:dyDescent="0.3">
      <c r="C9" s="37">
        <f t="shared" ref="C9:F9" si="8">+C5/90-1</f>
        <v>-0.16666666666666663</v>
      </c>
      <c r="D9" s="29">
        <f t="shared" si="8"/>
        <v>3.3333333333333437E-2</v>
      </c>
      <c r="E9" s="30">
        <f t="shared" si="8"/>
        <v>0.23333333333333339</v>
      </c>
      <c r="F9" s="38">
        <f t="shared" si="8"/>
        <v>0.64444444444444438</v>
      </c>
      <c r="G9" s="38">
        <f t="shared" ref="G9:H9" si="9">+G5/90-1</f>
        <v>0.93333333333333335</v>
      </c>
      <c r="H9" s="38">
        <f t="shared" si="9"/>
        <v>1.2555555555555555</v>
      </c>
    </row>
    <row r="10" spans="1:8" ht="13" x14ac:dyDescent="0.3">
      <c r="C10" s="37">
        <f t="shared" ref="C10:G10" si="10">+C6/90-1</f>
        <v>-9.9999999999999978E-2</v>
      </c>
      <c r="D10" s="29">
        <f t="shared" si="10"/>
        <v>0.10000000000000009</v>
      </c>
      <c r="E10" s="38">
        <f t="shared" si="10"/>
        <v>0.30000000000000004</v>
      </c>
      <c r="F10" s="38">
        <f t="shared" si="10"/>
        <v>0.71111111111111103</v>
      </c>
      <c r="G10" s="38">
        <f t="shared" si="10"/>
        <v>1</v>
      </c>
      <c r="H10" s="38">
        <f t="shared" ref="H10" si="11">+H6/90-1</f>
        <v>1.3222222222222224</v>
      </c>
    </row>
  </sheetData>
  <hyperlinks>
    <hyperlink ref="A1" location="Main!A1" display="Main" xr:uid="{6A390398-FFC2-4430-9FE1-6766737CC26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</vt:lpstr>
      <vt:lpstr>Model</vt:lpstr>
      <vt:lpstr>Voxzogo</vt:lpstr>
      <vt:lpstr>valrox</vt:lpstr>
      <vt:lpstr>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2022-10-24T19:25:36Z</dcterms:created>
  <dcterms:modified xsi:type="dcterms:W3CDTF">2026-05-04T20:16:50Z</dcterms:modified>
</cp:coreProperties>
</file>